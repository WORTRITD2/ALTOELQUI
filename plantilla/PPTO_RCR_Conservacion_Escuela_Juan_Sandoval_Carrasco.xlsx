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ance real " sheetId="1" r:id="rId4"/>
    <sheet state="visible" name="avance proyectado 20%" sheetId="2" r:id="rId5"/>
    <sheet state="visible" name="P.U" sheetId="3" r:id="rId6"/>
    <sheet state="visible" name="Anexo 4" sheetId="4" r:id="rId7"/>
  </sheets>
  <definedNames/>
  <calcPr/>
  <extLst>
    <ext uri="GoogleSheetsCustomDataVersion2">
      <go:sheetsCustomData xmlns:go="http://customooxmlschemas.google.com/" r:id="rId8" roundtripDataChecksum="r9brZxd4TWKKj4KXn0tGc57qywOzzW9KwOKJbMgxXfk="/>
    </ext>
  </extLst>
</workbook>
</file>

<file path=xl/sharedStrings.xml><?xml version="1.0" encoding="utf-8"?>
<sst xmlns="http://schemas.openxmlformats.org/spreadsheetml/2006/main" count="8661" uniqueCount="673">
  <si>
    <t>PRESUPUESTO OBRAS CIVILES</t>
  </si>
  <si>
    <t>Rendimiento (Un/jornada):</t>
  </si>
  <si>
    <t>(edita este valor)</t>
  </si>
  <si>
    <t>Parámetros (editar):</t>
  </si>
  <si>
    <t>Unidad de pago:</t>
  </si>
  <si>
    <t>m²</t>
  </si>
  <si>
    <t>Gastos Generales</t>
  </si>
  <si>
    <t>Licitación: CONSERVACIÓN ESCUELA JUAN SANDOVAL CARRASCO</t>
  </si>
  <si>
    <t>Utilidad</t>
  </si>
  <si>
    <t>2.1.1.1 Retiro cubierta existen</t>
  </si>
  <si>
    <t>iva</t>
  </si>
  <si>
    <t>MATERIALES</t>
  </si>
  <si>
    <t>Anexo N°4</t>
  </si>
  <si>
    <t>Fecha: 17-03-2025</t>
  </si>
  <si>
    <t>Fecha: 03-03-2025</t>
  </si>
  <si>
    <t>#</t>
  </si>
  <si>
    <t>% Avance</t>
  </si>
  <si>
    <t>Descripción / Material</t>
  </si>
  <si>
    <t>Unidad</t>
  </si>
  <si>
    <t>Cantidad</t>
  </si>
  <si>
    <t>$ Unitario</t>
  </si>
  <si>
    <t>Subtotal</t>
  </si>
  <si>
    <t>1</t>
  </si>
  <si>
    <t>Film Polietileno 200 mic (protección)</t>
  </si>
  <si>
    <t>ANÁLISIS DE PRECIOS UNITARIOS</t>
  </si>
  <si>
    <t>Ubicación: SANTA ELENA N°385, COQUIMBO</t>
  </si>
  <si>
    <t>NOMBRE DE LA OBRA: SERVICIO DE OBRAS DE CONSERVACIÓN EN ESCUELA JUAN SANDOVAL CARRASCO DEL SERVICIO LOCAL DE EDUCACIÓN PÚBLICA PUERTO CORDILLERA.</t>
  </si>
  <si>
    <t>2</t>
  </si>
  <si>
    <t xml:space="preserve">Versión: </t>
  </si>
  <si>
    <t>Sacos polipropileno 50 kg</t>
  </si>
  <si>
    <t>un</t>
  </si>
  <si>
    <t xml:space="preserve">ID </t>
  </si>
  <si>
    <t>3</t>
  </si>
  <si>
    <t>Consumibles (cintas/discos)</t>
  </si>
  <si>
    <t>gl</t>
  </si>
  <si>
    <t>Ítem</t>
  </si>
  <si>
    <t>Descripción</t>
  </si>
  <si>
    <t>TOTAL</t>
  </si>
  <si>
    <t>CONTRATISTA: CONSTRUCTORA RCR SPA</t>
  </si>
  <si>
    <t>P. Unitario ($)</t>
  </si>
  <si>
    <t>P. Total  ($)</t>
  </si>
  <si>
    <t>Cant avance</t>
  </si>
  <si>
    <t>unidad</t>
  </si>
  <si>
    <t>avance %</t>
  </si>
  <si>
    <t>MANO DE OBRA (Rendimiento por jornada)</t>
  </si>
  <si>
    <t>monto avance</t>
  </si>
  <si>
    <t>PARTIDA</t>
  </si>
  <si>
    <r>
      <rPr>
        <rFont val="Arial"/>
        <b/>
        <color theme="1"/>
        <sz val="10.0"/>
      </rPr>
      <t>ITEM  :</t>
    </r>
    <r>
      <rPr>
        <rFont val="Arial"/>
        <b val="0"/>
        <color theme="1"/>
        <sz val="10.0"/>
      </rPr>
      <t xml:space="preserve"> </t>
    </r>
  </si>
  <si>
    <r>
      <rPr>
        <rFont val="Verdana"/>
        <b/>
        <color rgb="FFFFFFFF"/>
        <sz val="8.0"/>
      </rPr>
      <t>GENERALIDADES</t>
    </r>
  </si>
  <si>
    <t>UNIDAD</t>
  </si>
  <si>
    <t>Maestro techumbre</t>
  </si>
  <si>
    <t>día</t>
  </si>
  <si>
    <t>PRECIO</t>
  </si>
  <si>
    <r>
      <rPr>
        <rFont val="Verdana"/>
        <b/>
        <color rgb="FFFFFFFF"/>
        <sz val="8.0"/>
      </rPr>
      <t>GENERALIDADES</t>
    </r>
  </si>
  <si>
    <t>Ayudante</t>
  </si>
  <si>
    <r>
      <rPr>
        <rFont val="Verdana"/>
        <b/>
        <color rgb="FFFFFFFF"/>
        <sz val="8.0"/>
      </rPr>
      <t>OBRAS PREVIAS</t>
    </r>
  </si>
  <si>
    <t>UNITARIO</t>
  </si>
  <si>
    <r>
      <rPr>
        <rFont val="Verdana"/>
        <b/>
        <color rgb="FFFFFFFF"/>
        <sz val="8.0"/>
      </rPr>
      <t>OBRAS PREVIAS</t>
    </r>
  </si>
  <si>
    <t>NOMBRE</t>
  </si>
  <si>
    <t>Leyes sociales 50%</t>
  </si>
  <si>
    <t>TOTAL MO</t>
  </si>
  <si>
    <t>1.1</t>
  </si>
  <si>
    <t>MAQUINARIA Y HERRAMIENTAS (prorrateo por unidad)</t>
  </si>
  <si>
    <t>Letrero indicativo de la obra</t>
  </si>
  <si>
    <t>Un</t>
  </si>
  <si>
    <t>Andamio (prorrateo)</t>
  </si>
  <si>
    <t>MATERIALES (A)</t>
  </si>
  <si>
    <t>Nº</t>
  </si>
  <si>
    <t>ITEM</t>
  </si>
  <si>
    <t>Camión 3/4 (apoyo)</t>
  </si>
  <si>
    <t>CANTIDAD</t>
  </si>
  <si>
    <t>VALOR</t>
  </si>
  <si>
    <t>1.2</t>
  </si>
  <si>
    <t>Cierres Provisorios</t>
  </si>
  <si>
    <t>RESUMEN</t>
  </si>
  <si>
    <t>M. Lineal</t>
  </si>
  <si>
    <t>Ml</t>
  </si>
  <si>
    <t>Costo Directo</t>
  </si>
  <si>
    <t>m lineal</t>
  </si>
  <si>
    <t>1.3</t>
  </si>
  <si>
    <t>Intalación de faena</t>
  </si>
  <si>
    <t>Sub-Total Neto</t>
  </si>
  <si>
    <t>IVA 19%</t>
  </si>
  <si>
    <t>(m²)</t>
  </si>
  <si>
    <t>PRECIO UNITARIO</t>
  </si>
  <si>
    <t>1.3.1</t>
  </si>
  <si>
    <t>Oficina Jefatura</t>
  </si>
  <si>
    <t>INCLUIDO EN GASTOS GENERALES</t>
  </si>
  <si>
    <t>2.1.1.2 Retiro, traslado y disp</t>
  </si>
  <si>
    <t>1.3.2</t>
  </si>
  <si>
    <t>Bodegas</t>
  </si>
  <si>
    <t>Polietileno 200 mic (encapsulado)</t>
  </si>
  <si>
    <t>1.3.3</t>
  </si>
  <si>
    <t>Comedor</t>
  </si>
  <si>
    <t>Bolsas residuo peligroso rotuladas</t>
  </si>
  <si>
    <t>Sellante PU (sellos/bolsas)</t>
  </si>
  <si>
    <t>cart</t>
  </si>
  <si>
    <t>1.3.4</t>
  </si>
  <si>
    <t>Servicios Higienicos</t>
  </si>
  <si>
    <t>4</t>
  </si>
  <si>
    <t>Buzos desechables tipo Tyvek 4520</t>
  </si>
  <si>
    <t>5</t>
  </si>
  <si>
    <t>1.3.5</t>
  </si>
  <si>
    <t>Filtros P100 3M 2097 (par)</t>
  </si>
  <si>
    <t>par</t>
  </si>
  <si>
    <t>Camarines</t>
  </si>
  <si>
    <t>MANO DE OBRA (B)</t>
  </si>
  <si>
    <t>6</t>
  </si>
  <si>
    <t>Transporte + Disposición final (gestor RESPEL DS148)</t>
  </si>
  <si>
    <t>m3</t>
  </si>
  <si>
    <r>
      <rPr>
        <rFont val="Verdana"/>
        <b/>
        <color rgb="FFFFFFFF"/>
        <sz val="8.0"/>
      </rPr>
      <t>SUBTOTAL</t>
    </r>
  </si>
  <si>
    <r>
      <rPr>
        <rFont val="Verdana"/>
        <b/>
        <color rgb="FFFFFFFF"/>
        <sz val="8.0"/>
      </rPr>
      <t>SUBTOTAL</t>
    </r>
  </si>
  <si>
    <t>Maestro acreditado (MCA)</t>
  </si>
  <si>
    <r>
      <rPr>
        <rFont val="Verdana"/>
        <b/>
        <color rgb="FFFFFFFF"/>
        <sz val="8.0"/>
      </rPr>
      <t>MEJORAMIENTO</t>
    </r>
  </si>
  <si>
    <r>
      <rPr>
        <rFont val="Verdana"/>
        <b/>
        <color rgb="FFFFFFFF"/>
        <sz val="8.0"/>
      </rPr>
      <t>MEJORAMIENTO</t>
    </r>
  </si>
  <si>
    <t>2.1</t>
  </si>
  <si>
    <t>Mejoramiento Complejo de Cubierta</t>
  </si>
  <si>
    <t>2.1.1</t>
  </si>
  <si>
    <t>Retiro de cubierta existente</t>
  </si>
  <si>
    <t>Andamio (línea de vida/arnés)</t>
  </si>
  <si>
    <t>2.1.1.1</t>
  </si>
  <si>
    <t>SUBTOTAL M.O</t>
  </si>
  <si>
    <t>Retiro de cubierta existente zinc</t>
  </si>
  <si>
    <t>LEYES SOCIALES</t>
  </si>
  <si>
    <t>%</t>
  </si>
  <si>
    <t>m2</t>
  </si>
  <si>
    <t>2.1.1.2</t>
  </si>
  <si>
    <t>Retiro, traslado y dispoción de cubierta de asbesto cemento</t>
  </si>
  <si>
    <t>EQUIPOS Y HERRAMIENTAS (C)</t>
  </si>
  <si>
    <t>2.1.2</t>
  </si>
  <si>
    <t>Lana de vidrio 91mm R100/213 (Para cubierta PV4)</t>
  </si>
  <si>
    <t>2.1.3</t>
  </si>
  <si>
    <t>Membrana Hidrofuga Tyvek (Para cubierta PV4)</t>
  </si>
  <si>
    <t>2.1.2 Lana de vidrio 91mm R100-</t>
  </si>
  <si>
    <t>2.1.4</t>
  </si>
  <si>
    <t>Placa OSB (Para cubierta PV4)</t>
  </si>
  <si>
    <t>Lana de vidrio 90 mm</t>
  </si>
  <si>
    <t>2.1.5</t>
  </si>
  <si>
    <t>Cubierta PV4</t>
  </si>
  <si>
    <t>Grapa inoxidable / fijación</t>
  </si>
  <si>
    <t>2.1.6</t>
  </si>
  <si>
    <t>Hojalatería Zincalum liso 0.5mm - CABALLETE</t>
  </si>
  <si>
    <t>m</t>
  </si>
  <si>
    <t>____________________________________</t>
  </si>
  <si>
    <t>Instalador</t>
  </si>
  <si>
    <t>ROGER CARMONA / 12,441,221-8</t>
  </si>
  <si>
    <t>REPRESENTANTE LEGAL</t>
  </si>
  <si>
    <t>CONSTRUCTORA RCR SPA</t>
  </si>
  <si>
    <t>2.1.7</t>
  </si>
  <si>
    <t>Hojalatería Zincalum liso 0.5mm - CANALETA</t>
  </si>
  <si>
    <t>2.1.8</t>
  </si>
  <si>
    <t>Hojalatería Zincalum liso 0.5mm - FORRO Y BAJADAS</t>
  </si>
  <si>
    <t>Andamio (apoyo)</t>
  </si>
  <si>
    <t>Porcel. Artech gris mate inout antides 23x120</t>
  </si>
  <si>
    <r>
      <rPr>
        <rFont val="Arial"/>
        <b/>
        <color theme="1"/>
        <sz val="10.0"/>
      </rPr>
      <t>ITEM  :</t>
    </r>
    <r>
      <rPr>
        <rFont val="Arial"/>
        <b val="0"/>
        <color theme="1"/>
        <sz val="10.0"/>
      </rPr>
      <t xml:space="preserve"> </t>
    </r>
  </si>
  <si>
    <t>2.1.9</t>
  </si>
  <si>
    <t>Forro de Aleros y Frontones</t>
  </si>
  <si>
    <t>2.2</t>
  </si>
  <si>
    <t>Pavimentos</t>
  </si>
  <si>
    <t>2.2.1</t>
  </si>
  <si>
    <t>Retiro de revestimiento de piso existente</t>
  </si>
  <si>
    <t>2.2.2</t>
  </si>
  <si>
    <t>Ceramica Blanco mate 60 x 60 cm</t>
  </si>
  <si>
    <t xml:space="preserve">2.1.3 Membrana Hidrofuga Tyvek </t>
  </si>
  <si>
    <t>Membrana hidrófuga (rollo 75 m²)</t>
  </si>
  <si>
    <t>2.2.3</t>
  </si>
  <si>
    <t>Porcelanato Artech Gris Mate Inout Antideslizante 23x120</t>
  </si>
  <si>
    <t>Grapa inoxidable</t>
  </si>
  <si>
    <t>Sellante PU (solapes)</t>
  </si>
  <si>
    <t>2.2.4</t>
  </si>
  <si>
    <t>Guardapolvo para Porcelanato Artech Gris Mate</t>
  </si>
  <si>
    <t>ml</t>
  </si>
  <si>
    <t>2.2.5</t>
  </si>
  <si>
    <t>Piso vinilico premium excelon raffia stream with dimon 10</t>
  </si>
  <si>
    <t>2.2.6</t>
  </si>
  <si>
    <t>Retiro de artefactos existentes</t>
  </si>
  <si>
    <t>2.2.7</t>
  </si>
  <si>
    <t>Pintura Poliuretano Multicancha</t>
  </si>
  <si>
    <t>2.2.8</t>
  </si>
  <si>
    <t>Pavimento de seguridad</t>
  </si>
  <si>
    <t>2.3</t>
  </si>
  <si>
    <t>Terminaciones muros</t>
  </si>
  <si>
    <t>2.3.1</t>
  </si>
  <si>
    <t>Cerámica Blanco brillante</t>
  </si>
  <si>
    <t>2.1.4 Placa OSB (Para cubierta PV4)</t>
  </si>
  <si>
    <t>2.3.2</t>
  </si>
  <si>
    <t>Pintura Esmalte al Agua color por definir</t>
  </si>
  <si>
    <t>Placa OSB 11 mm</t>
  </si>
  <si>
    <t>Tornillo madera autoperforante</t>
  </si>
  <si>
    <t>2.3.3</t>
  </si>
  <si>
    <t>Retiro y reinstalación de aparatos eléctricos</t>
  </si>
  <si>
    <t>Carpintero techumbre</t>
  </si>
  <si>
    <t>2.3.4</t>
  </si>
  <si>
    <t>Volcapol</t>
  </si>
  <si>
    <t>2.3.5</t>
  </si>
  <si>
    <t>Estuco Exterior</t>
  </si>
  <si>
    <t>2.3.6</t>
  </si>
  <si>
    <t>Pintura Elastomerica Grano Fino</t>
  </si>
  <si>
    <t>Atornillador inalámbrico</t>
  </si>
  <si>
    <t>2.4</t>
  </si>
  <si>
    <t>Terminaciones Cielos</t>
  </si>
  <si>
    <t>2.4.1</t>
  </si>
  <si>
    <t>Cielo Placa Yeso-Carton ST</t>
  </si>
  <si>
    <t>2.4.2</t>
  </si>
  <si>
    <t>Pintura Latex Color Blanco</t>
  </si>
  <si>
    <t xml:space="preserve"> Cubierta PV4</t>
  </si>
  <si>
    <t>2.4.3</t>
  </si>
  <si>
    <t>Cielo panel arquitectonico liso villalba</t>
  </si>
  <si>
    <t>Plancha PV4 0,5 mm c/ anticondensante</t>
  </si>
  <si>
    <t>2.6</t>
  </si>
  <si>
    <t>Ventanas</t>
  </si>
  <si>
    <t>Tornillo c/ arandela neopreno</t>
  </si>
  <si>
    <t>Sellante PU remates</t>
  </si>
  <si>
    <t>2.6.1</t>
  </si>
  <si>
    <t>Retiro de Ventana Existente</t>
  </si>
  <si>
    <t>Cielo placa yeso carton ST</t>
  </si>
  <si>
    <r>
      <rPr>
        <rFont val="Arial"/>
        <b/>
        <color theme="1"/>
        <sz val="10.0"/>
      </rPr>
      <t>ITEM  :</t>
    </r>
    <r>
      <rPr>
        <rFont val="Arial"/>
        <b val="0"/>
        <color theme="1"/>
        <sz val="10.0"/>
      </rPr>
      <t xml:space="preserve"> </t>
    </r>
  </si>
  <si>
    <t>Techador</t>
  </si>
  <si>
    <t>2.6.2</t>
  </si>
  <si>
    <t>Estuco de rasgos con mortero preparado</t>
  </si>
  <si>
    <t>2.6.3</t>
  </si>
  <si>
    <t>Ventana V1 2,85x1,50</t>
  </si>
  <si>
    <t>2.6.4</t>
  </si>
  <si>
    <t>Ventana V2 1,20x2,60</t>
  </si>
  <si>
    <t>Atornillador</t>
  </si>
  <si>
    <t>2.6.5</t>
  </si>
  <si>
    <t>Ventana V3 2,95x1,60</t>
  </si>
  <si>
    <t>2.6.6</t>
  </si>
  <si>
    <t>Ventana V4 1,35x0,7</t>
  </si>
  <si>
    <t>2.6.7</t>
  </si>
  <si>
    <t>Ventana V5 2,85x0,50</t>
  </si>
  <si>
    <t>2.6.8</t>
  </si>
  <si>
    <t>Ventana V6 1,35x0,50</t>
  </si>
  <si>
    <t>2.6.9</t>
  </si>
  <si>
    <t>Ventana V7 0,60x1,50</t>
  </si>
  <si>
    <t>Ventana V8 1,60x1,50</t>
  </si>
  <si>
    <t>Ventana V9 3,25x1,50</t>
  </si>
  <si>
    <t xml:space="preserve">2.1.6 Hojalatería Zincalum 0,5 </t>
  </si>
  <si>
    <t>Ventana V10 4,35x1,50</t>
  </si>
  <si>
    <t>Caballete zincalum (ref 0,5 mm)</t>
  </si>
  <si>
    <t>Ventana V11 0,60x1,20</t>
  </si>
  <si>
    <t>Tornillo c/ neopreno</t>
  </si>
  <si>
    <t>Sellante PU</t>
  </si>
  <si>
    <t>Ventana V12 1,40x0,60</t>
  </si>
  <si>
    <t>Ventana V13 1,70x0,60</t>
  </si>
  <si>
    <t>Hojalatero</t>
  </si>
  <si>
    <t>Ventana V14 0,65x1,60</t>
  </si>
  <si>
    <t>Ventana V15 1,60x1,60</t>
  </si>
  <si>
    <t>Ventana V16 5,85x1,50</t>
  </si>
  <si>
    <t>Atornillador / tijera</t>
  </si>
  <si>
    <t>VF1 1,70X0,50</t>
  </si>
  <si>
    <t>VF2 2,85X0,50</t>
  </si>
  <si>
    <t>VF3 1,75X0,50</t>
  </si>
  <si>
    <t>VF4  3,95X0,50</t>
  </si>
  <si>
    <t>(m)</t>
  </si>
  <si>
    <t>Malla Mosquitera</t>
  </si>
  <si>
    <t xml:space="preserve">2.1.7 Hojalatería Zincalum 0,5 </t>
  </si>
  <si>
    <t>Protecciones</t>
  </si>
  <si>
    <t>Canaleta D200 zincalum 0,5 mm</t>
  </si>
  <si>
    <t>2.7</t>
  </si>
  <si>
    <t>Puertas</t>
  </si>
  <si>
    <t>Accesorios y soportes (prorrateo)</t>
  </si>
  <si>
    <t>2.7.1</t>
  </si>
  <si>
    <t>Retiro de marco y puerta existentes</t>
  </si>
  <si>
    <t>2.7.2</t>
  </si>
  <si>
    <t>2.7.3</t>
  </si>
  <si>
    <t>Puerta P1 Ancho 0,80M</t>
  </si>
  <si>
    <t>2.7.4</t>
  </si>
  <si>
    <t>Puerta P2 Ancho 0,75M</t>
  </si>
  <si>
    <t>2.7.5</t>
  </si>
  <si>
    <t>Puerta P3 Ancho 0,70M</t>
  </si>
  <si>
    <t>2.7.6</t>
  </si>
  <si>
    <t>Puerta P4 Ancho 1,3M</t>
  </si>
  <si>
    <t>2.7.7</t>
  </si>
  <si>
    <t>Puerta P5 Ancho 0,95M</t>
  </si>
  <si>
    <t>2.7.8</t>
  </si>
  <si>
    <t>Puerta P6 Ancho 0,95M</t>
  </si>
  <si>
    <t>2.7.9</t>
  </si>
  <si>
    <t>Puerta P7 Ancho 0,90M</t>
  </si>
  <si>
    <t>Quincallería</t>
  </si>
  <si>
    <t>Bajada zinc 3 m (prorrateo por ml)</t>
  </si>
  <si>
    <t>2.7.10.1</t>
  </si>
  <si>
    <t>Manilla libre paso</t>
  </si>
  <si>
    <t>Abrazaderas / codos (prorrateo)</t>
  </si>
  <si>
    <t>2.7.10.2</t>
  </si>
  <si>
    <t>Cerradura</t>
  </si>
  <si>
    <t>2.7.10.3</t>
  </si>
  <si>
    <t>Tope de puerta</t>
  </si>
  <si>
    <t>2.8</t>
  </si>
  <si>
    <t>Artefactos Sanitarios</t>
  </si>
  <si>
    <t>2.8.1</t>
  </si>
  <si>
    <t>Barra de Sujeción abatible</t>
  </si>
  <si>
    <t>2.8.2</t>
  </si>
  <si>
    <t>Barra de Sujeción fija recta</t>
  </si>
  <si>
    <t>2.8.3</t>
  </si>
  <si>
    <t>Dispensador de Jabon</t>
  </si>
  <si>
    <t>2.8.4</t>
  </si>
  <si>
    <t>Dispensador de toallas de Papel</t>
  </si>
  <si>
    <t>Cielo panel arquitectonico liso Villalba</t>
  </si>
  <si>
    <r>
      <rPr>
        <rFont val="Arial"/>
        <b/>
        <color theme="1"/>
        <sz val="10.0"/>
      </rPr>
      <t>ITEM  :</t>
    </r>
    <r>
      <rPr>
        <rFont val="Arial"/>
        <b val="0"/>
        <color theme="1"/>
        <sz val="10.0"/>
      </rPr>
      <t xml:space="preserve"> </t>
    </r>
  </si>
  <si>
    <t>2.8.5</t>
  </si>
  <si>
    <t>División de baño</t>
  </si>
  <si>
    <t>2.8.6</t>
  </si>
  <si>
    <t>Ducha fija</t>
  </si>
  <si>
    <t>2.8.7</t>
  </si>
  <si>
    <t>Espejo con Bisel 60 x 90cm</t>
  </si>
  <si>
    <t>2.8.8</t>
  </si>
  <si>
    <t>Lavamanos pedestal</t>
  </si>
  <si>
    <t>2.8.9</t>
  </si>
  <si>
    <t>Lavamanos pedestal Niños</t>
  </si>
  <si>
    <t>Porta rollo Jumbo</t>
  </si>
  <si>
    <t>2.1.9 Forro de Aleros y Fronton</t>
  </si>
  <si>
    <t>Sanitario Discapacitados</t>
  </si>
  <si>
    <t>Terciado ranurado 12 mm</t>
  </si>
  <si>
    <t>Sanitario</t>
  </si>
  <si>
    <t>Tornillo madera</t>
  </si>
  <si>
    <t>Barniz marino 1 gal (0,12 gal/m²)</t>
  </si>
  <si>
    <t>Asiento plegable para ducha</t>
  </si>
  <si>
    <t>gal</t>
  </si>
  <si>
    <t>Monomando ducha con ducha telefono</t>
  </si>
  <si>
    <t>Retiro de artefactos sanitarios existentes</t>
  </si>
  <si>
    <t>Carpintero</t>
  </si>
  <si>
    <t>Urinario mural</t>
  </si>
  <si>
    <t>Receptaculo</t>
  </si>
  <si>
    <t>Bañera</t>
  </si>
  <si>
    <t>Mueble Fijo bañera</t>
  </si>
  <si>
    <t>Sanitario Infantil</t>
  </si>
  <si>
    <t>Mueble Lavamanos</t>
  </si>
  <si>
    <t>Griferia Klip</t>
  </si>
  <si>
    <t>Lavamanos oval</t>
  </si>
  <si>
    <t>Espejo Biselado</t>
  </si>
  <si>
    <t>2.9</t>
  </si>
  <si>
    <t>Recambio Artefactos Electricos Existente</t>
  </si>
  <si>
    <t>2.2.1 Retiro Piso (m²)</t>
  </si>
  <si>
    <t>2.9.1</t>
  </si>
  <si>
    <t>Recambio Luminarias</t>
  </si>
  <si>
    <t>Bolsas para escombro (prorrateo)</t>
  </si>
  <si>
    <t>Plástico polietileno protección (prorrateo)</t>
  </si>
  <si>
    <t>2.9.1.1</t>
  </si>
  <si>
    <t>Panel LED 120x60 cm</t>
  </si>
  <si>
    <t>Cintas / consumibles (prorrateo)</t>
  </si>
  <si>
    <t>2.9.1.2</t>
  </si>
  <si>
    <t>Equipo Estanco 120X15 LED</t>
  </si>
  <si>
    <t>2.9.1.3</t>
  </si>
  <si>
    <t>Retiro Luminarias Existentes</t>
  </si>
  <si>
    <t>Maestro</t>
  </si>
  <si>
    <t>2.10</t>
  </si>
  <si>
    <t>Accesibilidad Universal</t>
  </si>
  <si>
    <t>2.10.1</t>
  </si>
  <si>
    <t>Retiro Pavimento existente</t>
  </si>
  <si>
    <t>2.10.2</t>
  </si>
  <si>
    <t>Baldosa Acc. Univ. Sevilla Recta Rojo Vallenar arroz</t>
  </si>
  <si>
    <t>Martillo demoledor</t>
  </si>
  <si>
    <t>2.10.3</t>
  </si>
  <si>
    <t>Baldosa Minvu Táctil 0 Rojo Vallenar Arroz</t>
  </si>
  <si>
    <t>2.10.4</t>
  </si>
  <si>
    <t>Retiro Baranda existente</t>
  </si>
  <si>
    <t>2.10.5</t>
  </si>
  <si>
    <t>Baranda Accesibilidad Universal</t>
  </si>
  <si>
    <t>2.10.6</t>
  </si>
  <si>
    <t>Pasamanos Accesibilidad Universal</t>
  </si>
  <si>
    <t>2.11</t>
  </si>
  <si>
    <t>Elementos Complementarios</t>
  </si>
  <si>
    <t>2.11.1</t>
  </si>
  <si>
    <t>Roller 285x160cm Cortina Roller Sun Screen 5%</t>
  </si>
  <si>
    <t>2.11.2</t>
  </si>
  <si>
    <t>Roller 120x170cm Cortina Roller Sun Screen 5%</t>
  </si>
  <si>
    <t>2.11.3</t>
  </si>
  <si>
    <t>Roller 295x170cm Cortina Roller Sun Screen 5%</t>
  </si>
  <si>
    <t>2.11.4</t>
  </si>
  <si>
    <t>Roller 75x170cm Cortina Roller Sun Screen 5%</t>
  </si>
  <si>
    <t>2.11.5</t>
  </si>
  <si>
    <t>Roller 170x170cm Cortina Roller Sun Screen 5%</t>
  </si>
  <si>
    <t>2.2.2 Cerámica 60x60 (m²)</t>
  </si>
  <si>
    <t>2.11.6</t>
  </si>
  <si>
    <t>Roller 330x160cm Cortina Roller Sun Screen 5%</t>
  </si>
  <si>
    <r>
      <rPr>
        <rFont val="Arial"/>
        <b/>
        <color theme="1"/>
        <sz val="10.0"/>
      </rPr>
      <t>ITEM  :</t>
    </r>
    <r>
      <rPr>
        <rFont val="Arial"/>
        <b val="0"/>
        <color theme="1"/>
        <sz val="10.0"/>
      </rPr>
      <t xml:space="preserve"> </t>
    </r>
  </si>
  <si>
    <t>Cerámica 60x60 blanco mate</t>
  </si>
  <si>
    <t>2.11.7</t>
  </si>
  <si>
    <t>Roller 435x160cm Cortina Roller Sun Screen 5%</t>
  </si>
  <si>
    <t>2.11.8</t>
  </si>
  <si>
    <t>Roller 290x160cm Cortina Roller Sun Screen 5%</t>
  </si>
  <si>
    <t>Adhesivo cerámico (4 kg/m²)</t>
  </si>
  <si>
    <t>kg</t>
  </si>
  <si>
    <t>Fragüe 1 kg (0,40 kg/m²)</t>
  </si>
  <si>
    <t>2.11.9</t>
  </si>
  <si>
    <t>Letrero tipo</t>
  </si>
  <si>
    <t>Crucetas 2 mm (10 un/m²)</t>
  </si>
  <si>
    <t>Pizarra 150 x 300 cm</t>
  </si>
  <si>
    <t>Columpio inclusivo para silla de ruedas</t>
  </si>
  <si>
    <t>Tambores JM-08</t>
  </si>
  <si>
    <t>Musical JM-06</t>
  </si>
  <si>
    <t>Xilofono JM-01</t>
  </si>
  <si>
    <t>Columpio dinamico SD-101</t>
  </si>
  <si>
    <t>Desagaste herramientas</t>
  </si>
  <si>
    <t>Unity Spinr</t>
  </si>
  <si>
    <r>
      <rPr>
        <rFont val="Verdana"/>
        <b/>
        <color rgb="FFFFFFFF"/>
        <sz val="8.0"/>
      </rPr>
      <t>SUBTOTAL</t>
    </r>
  </si>
  <si>
    <r>
      <rPr>
        <rFont val="Verdana"/>
        <b/>
        <color rgb="FFFFFFFF"/>
        <sz val="8.0"/>
      </rPr>
      <t>OTROS</t>
    </r>
  </si>
  <si>
    <t xml:space="preserve"> Porcelanato 23x120 </t>
  </si>
  <si>
    <t>3.1</t>
  </si>
  <si>
    <t>Limpieza  y entrega final</t>
  </si>
  <si>
    <t>Porcelanato Artech Gris Mate Inout 23x120</t>
  </si>
  <si>
    <t>3.2</t>
  </si>
  <si>
    <r>
      <rPr>
        <rFont val="Verdana"/>
        <b/>
        <color rgb="FFFFFFFF"/>
        <sz val="8.0"/>
      </rPr>
      <t>SUBTOTAL</t>
    </r>
  </si>
  <si>
    <t>Retiro de escombros</t>
  </si>
  <si>
    <t>Adhesivo DA 25 kg (6 kg/m²)</t>
  </si>
  <si>
    <t>Fragüe 1 kg (0,35 kg/m²)</t>
  </si>
  <si>
    <t>Niveladores/Clips (12 un/m²)</t>
  </si>
  <si>
    <t>SUBTOTAL</t>
  </si>
  <si>
    <r>
      <rPr>
        <rFont val="Verdana"/>
        <b/>
        <color rgb="FFFFFFFF"/>
        <sz val="8.0"/>
      </rPr>
      <t>OTROS</t>
    </r>
  </si>
  <si>
    <t>COSTO DIRECTO NETO</t>
  </si>
  <si>
    <t>GASTOS GENERALES</t>
  </si>
  <si>
    <t>UTILIDADES</t>
  </si>
  <si>
    <t>$</t>
  </si>
  <si>
    <t>IVA</t>
  </si>
  <si>
    <t>2.2.4 Guardapolvo (m)</t>
  </si>
  <si>
    <t>Guardapolvo porcelanato 10x60</t>
  </si>
  <si>
    <t>Adhesivo DA 25 kg (1 kg/m)</t>
  </si>
  <si>
    <t>Fragüe (0,05 kg/m)</t>
  </si>
  <si>
    <t>2.2.5 Piso Vinílico VCT (m²)</t>
  </si>
  <si>
    <t>VCT Armstrong Premium Excelon Raffia Stream (Diamond 10)</t>
  </si>
  <si>
    <t>Adhesivo VCT S-515 (0,033 gal/m²)</t>
  </si>
  <si>
    <t>Zócalo vinílico (prorrateo)</t>
  </si>
  <si>
    <t>2.2.6 Retiro de artefactos (un)</t>
  </si>
  <si>
    <t>Teflón / sellos / tapas (prorrateo)</t>
  </si>
  <si>
    <t>(un)</t>
  </si>
  <si>
    <t>2.2.7 Pintura Multicancha (m²)</t>
  </si>
  <si>
    <t>Pintura Poliuretano Multicancha (2 capas)</t>
  </si>
  <si>
    <t>GL</t>
  </si>
  <si>
    <t>Rodillos / masking / dilución (prorrateo)</t>
  </si>
  <si>
    <t>2.2.8 Pavimento Seguridad (m²)</t>
  </si>
  <si>
    <t>Pavimento de seguridad EPDM/SBR instalado (proveedor externo)</t>
  </si>
  <si>
    <t>2.3.1 Cerámica Blanco brillante</t>
  </si>
  <si>
    <t>Cerámica blanco brillante</t>
  </si>
  <si>
    <t>Adhesivo cerámico (25 kg)</t>
  </si>
  <si>
    <t>Fragüe 1 kg</t>
  </si>
  <si>
    <t>Crucetas 2 mm</t>
  </si>
  <si>
    <t>2.3.2 Esmalte al Agua (m²)</t>
  </si>
  <si>
    <t>Esmalte al agua (2 manos)</t>
  </si>
  <si>
    <t>L</t>
  </si>
  <si>
    <t>Sellos/masillas/masking (prorrateo)</t>
  </si>
  <si>
    <t>Imprimación local (si aplica)</t>
  </si>
  <si>
    <t>2.3.3 Retiro y reinstalación aparatos electricos</t>
  </si>
  <si>
    <t>Insumos eléctricos menores (teflón, tornillería, cajas)</t>
  </si>
  <si>
    <t>Electricista</t>
  </si>
  <si>
    <t>2.3.4 Volcapol (m²)</t>
  </si>
  <si>
    <t>Volcapol (espesor ~3 mm)</t>
  </si>
  <si>
    <t>Malla fibra de vidrio 110 g (parches/refuerzo)</t>
  </si>
  <si>
    <t>Promotor de adherencia</t>
  </si>
  <si>
    <t>2.3.5 Estuco Exterior (m²)</t>
  </si>
  <si>
    <t>Mortero estuco predosificado</t>
  </si>
  <si>
    <t>Aditivo impermeabilizante</t>
  </si>
  <si>
    <t>Cantoneras / maestras (prorrateo)</t>
  </si>
  <si>
    <t>2.3.6 Elastomérica grano fino (</t>
  </si>
  <si>
    <t>Pintura elastomérica grano fino (2 manos)</t>
  </si>
  <si>
    <t>Sellador acrílico (mano base)</t>
  </si>
  <si>
    <t>Cintas / masking / rodillos (prorrateo)</t>
  </si>
  <si>
    <t xml:space="preserve"> Cielo YG ST </t>
  </si>
  <si>
    <t>Placa yeso-cartón ST 10 mm</t>
  </si>
  <si>
    <t>Perfil Omega 0,5 mm (2,5 ml/m²)</t>
  </si>
  <si>
    <t>Canal perimetral 20x25 (0,20 ml/m²)</t>
  </si>
  <si>
    <t>Tornillo yeso-cartón 1-1/4" (20 u/m²)</t>
  </si>
  <si>
    <t>Cinta papel 50 mm (1,0 ml/m²)</t>
  </si>
  <si>
    <t>Masilla juntas 25 kg (0,35 kg/m²)</t>
  </si>
  <si>
    <t>Consumibles y anclajes (prorrateo)</t>
  </si>
  <si>
    <t>2.4.2 Pintura Látex Blanco (m²)</t>
  </si>
  <si>
    <t>Larex al agua (2 manos)</t>
  </si>
  <si>
    <t xml:space="preserve">2.4.3 </t>
  </si>
  <si>
    <t>Cielo panel arquitectónic</t>
  </si>
  <si>
    <t>Panel arquitectónico liso 200 mm Villalba</t>
  </si>
  <si>
    <t>Perfil Omega soporte (1,667 ml/m²)</t>
  </si>
  <si>
    <t>Tornillos autoperforantes (10 u/m²)</t>
  </si>
  <si>
    <t>Accesorios y consumibles (prorrateo)</t>
  </si>
  <si>
    <t>2.6.1 Retiro (m²)</t>
  </si>
  <si>
    <t>Bolsas escombros / polietileno (prorrateo)</t>
  </si>
  <si>
    <t>Sellos y masking (prorrateo)</t>
  </si>
  <si>
    <t>2.6.2 Estuco rasgos (m2)</t>
  </si>
  <si>
    <t>Mortero preparado (kg/ml)</t>
  </si>
  <si>
    <t>Aditivo adherencia (L/ml)</t>
  </si>
  <si>
    <t>Cantoneras/maestras (prorrateo)</t>
  </si>
  <si>
    <t>2.6.3 V1 (un)</t>
  </si>
  <si>
    <t>Suministro ventana PVC (vidrio Termopanel)</t>
  </si>
  <si>
    <t>Herrajes básicos (set/ventana)</t>
  </si>
  <si>
    <t>set</t>
  </si>
  <si>
    <t>Silicona neutra (ml por m² de vano)</t>
  </si>
  <si>
    <t>Burlete EPDM (ml por m² de vano)</t>
  </si>
  <si>
    <t>Espuma expansiva (ml por m² de vano)</t>
  </si>
  <si>
    <t>Consumibles / calzos / anclajes (prorr.)</t>
  </si>
  <si>
    <t>2.6.4 V2 (un)</t>
  </si>
  <si>
    <t>2.6.5 V3 (un)</t>
  </si>
  <si>
    <t>2.6.6 V4 (un)</t>
  </si>
  <si>
    <t>2.6.7 V5 (un)</t>
  </si>
  <si>
    <t>2.6.8 V6 (un)</t>
  </si>
  <si>
    <t>2.6.9 V7 (un)</t>
  </si>
  <si>
    <t>2.6.10 V8 (un)</t>
  </si>
  <si>
    <t>2.6.11 V9 (un)</t>
  </si>
  <si>
    <t>2.6.12 V10 (un)</t>
  </si>
  <si>
    <t>2.6.13 V11 (un)</t>
  </si>
  <si>
    <t>2.6.14 V12 (un)</t>
  </si>
  <si>
    <t>2.6.15 V13 (un)</t>
  </si>
  <si>
    <t>2.6.16 V14 (un)</t>
  </si>
  <si>
    <t>2.6.17 V15 (un)</t>
  </si>
  <si>
    <t>2.6.18 V16 (un)</t>
  </si>
  <si>
    <t>2.6.19 VF1 (un)</t>
  </si>
  <si>
    <t>2.6.20 VF2 (un)</t>
  </si>
  <si>
    <t>2.6.21 VF3 (un)</t>
  </si>
  <si>
    <t>2.6.22 VF4 (un)</t>
  </si>
  <si>
    <t>2.6.23 Mosquitera (m²)</t>
  </si>
  <si>
    <t>Malla mosquitera fibra vidrio</t>
  </si>
  <si>
    <t>Perfil marco mosquitera (prorr kg/ml)</t>
  </si>
  <si>
    <t>Herrajes/bisagras/cierres (set)</t>
  </si>
  <si>
    <t>Sellos / consumibles</t>
  </si>
  <si>
    <t>2.6.24</t>
  </si>
  <si>
    <t xml:space="preserve"> Protecciones </t>
  </si>
  <si>
    <t>Perfilería acero + pintura (base por m²)</t>
  </si>
  <si>
    <t>Accesorios/anclajes (prorr)</t>
  </si>
  <si>
    <t>UN</t>
  </si>
  <si>
    <t xml:space="preserve">2.7.1 Retiro de marco y puerta </t>
  </si>
  <si>
    <t>Bolsas / resguardo de residuos retirados</t>
  </si>
  <si>
    <t>Traslado y disposición en botadero autorizado</t>
  </si>
  <si>
    <t>Sellos provisorios de cierre de vano (plástico+cinta)</t>
  </si>
  <si>
    <t>(UN)</t>
  </si>
  <si>
    <t>2.7.2 Estuco de rasgos con mort</t>
  </si>
  <si>
    <t>2.7.3 Puerta P1 Ancho 0,80M</t>
  </si>
  <si>
    <t>Hoja puerta Rosario HDF e=45 mm pre pintada</t>
  </si>
  <si>
    <t>Marco pino finger 40x90 mm</t>
  </si>
  <si>
    <t>Sellos silicona pintable int/ext</t>
  </si>
  <si>
    <t>Pintura esmalte al agua blanco (retoque)</t>
  </si>
  <si>
    <t>lt</t>
  </si>
  <si>
    <t>Quincallería (bisagras)</t>
  </si>
  <si>
    <t>jgo</t>
  </si>
  <si>
    <t>Fijaciones (tarugos y tornillos)</t>
  </si>
  <si>
    <t>2.7.4 Puerta P2 Ancho 0,75M</t>
  </si>
  <si>
    <t>Rejilla de ventilación 25x30 cm</t>
  </si>
  <si>
    <t>Quincallería completa (bisagras)</t>
  </si>
  <si>
    <t xml:space="preserve">2.7.5 Puerta P3 Ancho 0,70M </t>
  </si>
  <si>
    <t xml:space="preserve">2.7.6 Puerta P4 Ancho 1,30M </t>
  </si>
  <si>
    <t>Bastidor metálico puerta doble</t>
  </si>
  <si>
    <t>u</t>
  </si>
  <si>
    <t>Placa acero inoxidable 1 mm (una cara)</t>
  </si>
  <si>
    <t>Terciado marino 12 mm (ambas caras)</t>
  </si>
  <si>
    <t>Sellos silicona intemperie</t>
  </si>
  <si>
    <t>Ventana fija DVH 3+3/12/6e</t>
  </si>
  <si>
    <t>Quincallería seguridad exterior</t>
  </si>
  <si>
    <t>7</t>
  </si>
  <si>
    <t>Fijaciones metálicas / anclajes</t>
  </si>
  <si>
    <t xml:space="preserve">2.7.7 Puerta P5 Ancho 0,95M </t>
  </si>
  <si>
    <t>Bastidor metálico puerta exterior</t>
  </si>
  <si>
    <t xml:space="preserve">2.7.8 Puerta P6 Ancho 0,95M </t>
  </si>
  <si>
    <t>Quincallería completa (bisagras/manilla/cerradura)</t>
  </si>
  <si>
    <t xml:space="preserve">2.7.9 Puerta P7 Ancho 0,90M </t>
  </si>
  <si>
    <t>2.7.10.1 Manilla libre paso (un</t>
  </si>
  <si>
    <t>Juego de manilla DAP 2815-C Dapducasse, inox satín (o técnicamente similar)</t>
  </si>
  <si>
    <t>Tornillería/tarugos (prorrateo)</t>
  </si>
  <si>
    <t>Consumibles (brocas/puntas, masking)</t>
  </si>
  <si>
    <t>2.7.10.2 Cerradura (un)</t>
  </si>
  <si>
    <t>Cerradura de embutir seguridad múltiple DAP 8560 Dapducasse, inox satín (o técnicamente similar)</t>
  </si>
  <si>
    <t>2.7.10.3 Tope de puerta (un)</t>
  </si>
  <si>
    <t>Tope semi esfera de piso Ø45 mm x 23 mm, con goma negra, acero inoxidable (tipo DAP)</t>
  </si>
  <si>
    <t>2.8.1 Barra abatible un</t>
  </si>
  <si>
    <t>Barra sujeción abatible SS (según EETT)</t>
  </si>
  <si>
    <t>Anclajes / sellos / consumibles (prorr.)</t>
  </si>
  <si>
    <t>2.8.2 Barra fija recta un</t>
  </si>
  <si>
    <t>Barra sujeción fija recta SS (según EETT)</t>
  </si>
  <si>
    <t>2.8.3 Disp jabón un</t>
  </si>
  <si>
    <t>Dispensador jabón pared (según EETT)</t>
  </si>
  <si>
    <t>2.8.4 Disp toalla un</t>
  </si>
  <si>
    <t>Dispensador toallas papel (según EETT)</t>
  </si>
  <si>
    <t>2.8.5 División baño un</t>
  </si>
  <si>
    <t>Cabina/división baño compl. (según EETT)</t>
  </si>
  <si>
    <t>2.8.6 Ducha fija un</t>
  </si>
  <si>
    <t>Ducha fija pared/techo (según EETT)</t>
  </si>
  <si>
    <t>2.8.7 Espejo 60x90 un</t>
  </si>
  <si>
    <t>Espejo con bisel 60x90 (según EETT)</t>
  </si>
  <si>
    <t>2.8.8 Lavamanos pedestal un</t>
  </si>
  <si>
    <t>Lavamanos con pedestal (según EETT)</t>
  </si>
  <si>
    <t>2.8.9 Lavam pedestal niños un</t>
  </si>
  <si>
    <t>Lavamanos pedestal niños (según EETT)</t>
  </si>
  <si>
    <t>2.8.10 Porta rollo jumbo un</t>
  </si>
  <si>
    <t>Porta rollo Jumbo (según EETT)</t>
  </si>
  <si>
    <t>2.8.11 WC discap un</t>
  </si>
  <si>
    <t>Sanitario discapacitados (según EETT)</t>
  </si>
  <si>
    <t>2.8.12 WC estándar un</t>
  </si>
  <si>
    <t>Sanitario estándar (según EETT)</t>
  </si>
  <si>
    <t>2.8.13 Asiento pleg ducha un</t>
  </si>
  <si>
    <t>Asiento plegable para ducha (según EETT)</t>
  </si>
  <si>
    <t>2.8.14 Monomando ducha un</t>
  </si>
  <si>
    <t>Monomando ducha c/teléfono (según EETT)</t>
  </si>
  <si>
    <t>2.8.15 Retiro artefactos un</t>
  </si>
  <si>
    <t>Retiro artefacto sanitario (según EETT)</t>
  </si>
  <si>
    <t>2.8.16 Urinario mural un</t>
  </si>
  <si>
    <t>Urinario mural (según EETT)</t>
  </si>
  <si>
    <t>2.8.17 Receptáculo un</t>
  </si>
  <si>
    <t>Receptáculo de ducha (según EETT)</t>
  </si>
  <si>
    <t>2.8.18 Bañera un</t>
  </si>
  <si>
    <t>Bañera (según EETT)</t>
  </si>
  <si>
    <t>2.8.19 Mueble fijo m</t>
  </si>
  <si>
    <t>Mueble fijo bañera (ml) (según EETT)</t>
  </si>
  <si>
    <t>2.8.20 WC infantil un</t>
  </si>
  <si>
    <t>Sanitario infantil (según EETT)</t>
  </si>
  <si>
    <t>2.8.21 Mueble lavamanos m</t>
  </si>
  <si>
    <t>Mueble lavamanos (ml) (según EETT)</t>
  </si>
  <si>
    <t>2.8.22 Grifería Klip un</t>
  </si>
  <si>
    <t xml:space="preserve">Grifería Klip (según EETT) </t>
  </si>
  <si>
    <t>2.8.23 Lavamanos oval un</t>
  </si>
  <si>
    <t>Lavamanos oval (según EETT)</t>
  </si>
  <si>
    <t>2.8.24 Espejo bisel m2</t>
  </si>
  <si>
    <t>Espejo biselado (según EETT)</t>
  </si>
  <si>
    <t>(m2)</t>
  </si>
  <si>
    <t>2.9.1.1 Panel LED (un)</t>
  </si>
  <si>
    <t>Panel LED 120x60 cm (según EETT)</t>
  </si>
  <si>
    <t>Conectores rápidos (Wago)</t>
  </si>
  <si>
    <t>Anclajes/tarugos (prorr.)</t>
  </si>
  <si>
    <t>Cableado prorrateo</t>
  </si>
  <si>
    <t>2.9.1.2 Estanco LED (un)</t>
  </si>
  <si>
    <t>Equipo estanco LED 120x15 (según EETT)</t>
  </si>
  <si>
    <t>2.9.1.3 Retiro Lumin (un)</t>
  </si>
  <si>
    <t>Bolsas/embalajes y consumibles (prorr.)</t>
  </si>
  <si>
    <t>2.10.1 Retiro pav (m²)</t>
  </si>
  <si>
    <t>Bolsas escombros / film (prorr.)</t>
  </si>
  <si>
    <t>Tarifa disposición vertedero (prorr. m³)</t>
  </si>
  <si>
    <t>m³</t>
  </si>
  <si>
    <t>Transporte camión 3/4 (prorr.)</t>
  </si>
  <si>
    <t>2.10.2 Baldosa AU (m²)</t>
  </si>
  <si>
    <t>Baldosa Acc. Univ. Sevilla Recta Rojo Vallenar 'arroz' (según EETT)</t>
  </si>
  <si>
    <t>Mortero pega (kg/m²)</t>
  </si>
  <si>
    <t>Fragua (kg/m²)</t>
  </si>
  <si>
    <t>Arena/estabilizado base (m³/m²)</t>
  </si>
  <si>
    <t>2.10.3 Baldosa T0 (m²)</t>
  </si>
  <si>
    <t>Baldosa MINVU Táctil 0 Rojo Vallenar 'arroz' (según EETT)</t>
  </si>
  <si>
    <t>2.10.4 Retiro baranda (m)</t>
  </si>
  <si>
    <t>Bolsas/consumibles y corte (prorr.)</t>
  </si>
  <si>
    <t>2.10.5 Baranda AU (m)</t>
  </si>
  <si>
    <t>Baranda Accesibilidad Universal (según EETT)</t>
  </si>
  <si>
    <t>Anclajes químicos / pernos (prorr.)</t>
  </si>
  <si>
    <t>Pintura anticorrosiva (L/m)</t>
  </si>
  <si>
    <t>2.10.6 Pasamanos AU (m)</t>
  </si>
  <si>
    <t>Pasamanos Accesibilidad Universal (según EETT)</t>
  </si>
  <si>
    <t>2.11.1 Roller 285x160 (un)</t>
  </si>
  <si>
    <t>Cortina Roller Sun Screen 5% (según EETT) – 285×160 mm</t>
  </si>
  <si>
    <t>Set mecanismo/soportes cadena</t>
  </si>
  <si>
    <t>Anclajes/tarugos (prorrateo)</t>
  </si>
  <si>
    <t>2.11.2 Roller 120x170 (un)</t>
  </si>
  <si>
    <t>Cortina Roller Sun Screen 5% (según EETT) – 120×170 mm</t>
  </si>
  <si>
    <t>2.11.3 Roller 295x170 (un)</t>
  </si>
  <si>
    <t>Cortina Roller Sun Screen 5% (según EETT) – 295×170 mm</t>
  </si>
  <si>
    <t>2.11.4 Roller 75x170 (un)</t>
  </si>
  <si>
    <t>Cortina Roller Sun Screen 5% (según EETT) – 75×170 mm</t>
  </si>
  <si>
    <t>2.11.5 Roller 170x170 (un)</t>
  </si>
  <si>
    <t>Cortina Roller Sun Screen 5% (según EETT) – 170×170 mm</t>
  </si>
  <si>
    <t>2.11.6 Roller 330x160 (un)</t>
  </si>
  <si>
    <t>Cortina Roller Sun Screen 5% (según EETT) – 330×160 mm</t>
  </si>
  <si>
    <t>2.11.7 Roller 435x160 (un)</t>
  </si>
  <si>
    <t>Cortina Roller Sun Screen 5% (según EETT) – 435×160 mm</t>
  </si>
  <si>
    <t>2.11.8 Roller 290x160 (un)</t>
  </si>
  <si>
    <t>Cortina Roller Sun Screen 5% (según EETT) – 290×160 mm</t>
  </si>
  <si>
    <t>2.11.9 Letrero tipo (un)</t>
  </si>
  <si>
    <t>Letrero tipo señalética (según EETT)</t>
  </si>
  <si>
    <t>Anclajes / fijaciones / consumibles (prorr.)</t>
  </si>
  <si>
    <t>2.11.10 Pizarra 150x300 (un)</t>
  </si>
  <si>
    <t>Pizarra 150×300 cm magnética marco aluminio (según EETT)</t>
  </si>
  <si>
    <t>2.11.11 Columpio silla R (un)</t>
  </si>
  <si>
    <t>Columpio inclusivo p/silla de ruedas (según EETT)</t>
  </si>
  <si>
    <t>2.11.12 Tambores JM-08 (un)</t>
  </si>
  <si>
    <t>Tambores JM-08 (según EETT) (según EETT)</t>
  </si>
  <si>
    <t>2.11.13 Musical JM-06 (un)</t>
  </si>
  <si>
    <t>Módulo musical JM-06 (según EETT) (según EETT)</t>
  </si>
  <si>
    <t>2.11.14 Xilófono JM-01 (un)</t>
  </si>
  <si>
    <t>Xilófono JM-01 (según EETT) (según EETT)</t>
  </si>
  <si>
    <t>2.11.15 Columpio SD-101 (un)</t>
  </si>
  <si>
    <t>Columpio dinámico SD-101 (según EETT) (según EETT)</t>
  </si>
  <si>
    <t>2.11.16 Unity Spinr (un)</t>
  </si>
  <si>
    <t>Unity Spinr (según EETT) (según EETT)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</si>
</sst>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00"/>
    <numFmt numFmtId="165" formatCode="[$$]#,##0"/>
    <numFmt numFmtId="166" formatCode="_ &quot;$&quot;* #,##0.00_ ;_ &quot;$&quot;* \-#,##0.00_ ;_ &quot;$&quot;* &quot;-&quot;_ ;_ @_ "/>
    <numFmt numFmtId="167" formatCode="\$\ #,##0"/>
    <numFmt numFmtId="168" formatCode="_ &quot;$&quot;* #,##0_ ;_ &quot;$&quot;* \-#,##0_ ;_ &quot;$&quot;* &quot;-&quot;_ ;_ @_ "/>
    <numFmt numFmtId="169" formatCode="0.0000"/>
    <numFmt numFmtId="170" formatCode="&quot;$&quot;#,##0;[Red]&quot;$&quot;\-#,##0"/>
    <numFmt numFmtId="171" formatCode="m\.d\.yy"/>
    <numFmt numFmtId="172" formatCode="0.00000"/>
  </numFmts>
  <fonts count="28">
    <font>
      <sz val="11.0"/>
      <color theme="1"/>
      <name val="Aptos Narrow"/>
      <scheme val="minor"/>
    </font>
    <font>
      <b/>
      <sz val="8.0"/>
      <color theme="1"/>
      <name val="Verdana"/>
    </font>
    <font/>
    <font>
      <i/>
      <sz val="11.0"/>
      <color rgb="FF666666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sz val="9.0"/>
      <color theme="1"/>
      <name val="Aptos Narrow"/>
    </font>
    <font>
      <sz val="8.0"/>
      <color theme="1"/>
      <name val="Verdana"/>
    </font>
    <font>
      <b/>
      <sz val="11.0"/>
      <color theme="1"/>
      <name val="Aptos Narrow"/>
    </font>
    <font>
      <b/>
      <u/>
      <sz val="10.0"/>
      <color theme="1"/>
      <name val="Arial"/>
    </font>
    <font>
      <color theme="1"/>
      <name val="Arial"/>
    </font>
    <font>
      <b/>
      <u/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8.0"/>
      <color rgb="FF000000"/>
      <name val="Arial"/>
    </font>
    <font>
      <b/>
      <sz val="8.0"/>
      <color rgb="FFFFFFFF"/>
      <name val="Verdana"/>
    </font>
    <font>
      <sz val="8.0"/>
      <color rgb="FF000000"/>
      <name val="Arial"/>
    </font>
    <font>
      <sz val="8.0"/>
      <color rgb="FF000000"/>
      <name val="Verdana"/>
    </font>
    <font>
      <sz val="9.0"/>
      <color rgb="FF000000"/>
      <name val="Arial"/>
    </font>
    <font>
      <sz val="9.0"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8.0"/>
      <color rgb="FFFFFFFF"/>
      <name val="Verdana"/>
    </font>
    <font>
      <sz val="8.0"/>
      <color rgb="FFFFFFFF"/>
      <name val="Arial"/>
    </font>
    <font>
      <b/>
      <sz val="8.0"/>
      <color rgb="FF000000"/>
      <name val="Verdana"/>
    </font>
    <font>
      <sz val="8.0"/>
      <color theme="0"/>
      <name val="Verdana"/>
    </font>
    <font>
      <b/>
      <sz val="8.0"/>
      <color theme="0"/>
      <name val="Verdana"/>
    </font>
    <font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808080"/>
        <bgColor rgb="FF808080"/>
      </patternFill>
    </fill>
    <fill>
      <patternFill patternType="solid">
        <fgColor rgb="FFE8E8E8"/>
        <bgColor rgb="FFE8E8E8"/>
      </patternFill>
    </fill>
    <fill>
      <patternFill patternType="solid">
        <fgColor rgb="FF7F7F7F"/>
        <bgColor rgb="FF7F7F7F"/>
      </patternFill>
    </fill>
  </fills>
  <borders count="4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medium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0" fillId="0" fontId="3" numFmtId="0" xfId="0" applyFont="1"/>
    <xf borderId="3" fillId="0" fontId="2" numFmtId="0" xfId="0" applyBorder="1" applyFont="1"/>
    <xf borderId="0" fillId="0" fontId="4" numFmtId="0" xfId="0" applyFont="1"/>
    <xf borderId="0" fillId="0" fontId="1" numFmtId="0" xfId="0" applyAlignment="1" applyFont="1">
      <alignment horizontal="center" shrinkToFit="0" vertical="center" wrapText="1"/>
    </xf>
    <xf borderId="0" fillId="0" fontId="5" numFmtId="164" xfId="0" applyFont="1" applyNumberFormat="1"/>
    <xf borderId="0" fillId="0" fontId="6" numFmtId="0" xfId="0" applyAlignment="1" applyFont="1">
      <alignment horizontal="left" vertical="top"/>
    </xf>
    <xf borderId="0" fillId="0" fontId="5" numFmtId="3" xfId="0" applyFont="1" applyNumberFormat="1"/>
    <xf borderId="0" fillId="0" fontId="5" numFmtId="9" xfId="0" applyFont="1" applyNumberFormat="1"/>
    <xf borderId="4" fillId="0" fontId="1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5" fillId="0" fontId="7" numFmtId="0" xfId="0" applyAlignment="1" applyBorder="1" applyFont="1">
      <alignment horizontal="left" shrinkToFit="0" vertical="center" wrapText="1"/>
    </xf>
    <xf borderId="0" fillId="0" fontId="8" numFmtId="0" xfId="0" applyFont="1"/>
    <xf borderId="0" fillId="0" fontId="9" numFmtId="0" xfId="0" applyAlignment="1" applyFont="1">
      <alignment horizontal="center" vertical="center"/>
    </xf>
    <xf borderId="5" fillId="0" fontId="1" numFmtId="0" xfId="0" applyAlignment="1" applyBorder="1" applyFont="1">
      <alignment horizontal="left" readingOrder="0" shrinkToFit="0" vertical="center" wrapText="1"/>
    </xf>
    <xf borderId="6" fillId="0" fontId="2" numFmtId="0" xfId="0" applyBorder="1" applyFont="1"/>
    <xf borderId="7" fillId="3" fontId="8" numFmtId="0" xfId="0" applyAlignment="1" applyBorder="1" applyFill="1" applyFont="1">
      <alignment horizontal="center"/>
    </xf>
    <xf borderId="0" fillId="4" fontId="10" numFmtId="0" xfId="0" applyAlignment="1" applyFill="1" applyFont="1">
      <alignment readingOrder="0"/>
    </xf>
    <xf borderId="0" fillId="0" fontId="5" numFmtId="0" xfId="0" applyFont="1"/>
    <xf borderId="7" fillId="0" fontId="5" numFmtId="0" xfId="0" applyBorder="1" applyFont="1"/>
    <xf borderId="0" fillId="4" fontId="6" numFmtId="9" xfId="0" applyAlignment="1" applyFont="1" applyNumberFormat="1">
      <alignment horizontal="left" vertical="top"/>
    </xf>
    <xf borderId="0" fillId="0" fontId="6" numFmtId="165" xfId="0" applyAlignment="1" applyFont="1" applyNumberFormat="1">
      <alignment horizontal="left" vertical="top"/>
    </xf>
    <xf borderId="0" fillId="0" fontId="6" numFmtId="165" xfId="0" applyAlignment="1" applyFont="1" applyNumberFormat="1">
      <alignment horizontal="left" vertical="top"/>
    </xf>
    <xf borderId="0" fillId="0" fontId="11" numFmtId="0" xfId="0" applyAlignment="1" applyFont="1">
      <alignment horizontal="center"/>
    </xf>
    <xf borderId="8" fillId="0" fontId="6" numFmtId="165" xfId="0" applyAlignment="1" applyBorder="1" applyFont="1" applyNumberFormat="1">
      <alignment horizontal="left" vertical="top"/>
    </xf>
    <xf borderId="0" fillId="0" fontId="12" numFmtId="0" xfId="0" applyFont="1"/>
    <xf borderId="0" fillId="0" fontId="12" numFmtId="0" xfId="0" applyAlignment="1" applyFont="1">
      <alignment shrinkToFit="0" wrapText="1"/>
    </xf>
    <xf borderId="9" fillId="0" fontId="1" numFmtId="0" xfId="0" applyAlignment="1" applyBorder="1" applyFont="1">
      <alignment horizontal="left" shrinkToFit="0" vertical="top" wrapText="1"/>
    </xf>
    <xf borderId="10" fillId="0" fontId="2" numFmtId="0" xfId="0" applyBorder="1" applyFont="1"/>
    <xf borderId="11" fillId="0" fontId="13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left" shrinkToFit="0" vertical="center" wrapText="1"/>
    </xf>
    <xf borderId="7" fillId="0" fontId="5" numFmtId="2" xfId="0" applyBorder="1" applyFont="1" applyNumberFormat="1"/>
    <xf borderId="12" fillId="0" fontId="2" numFmtId="0" xfId="0" applyBorder="1" applyFont="1"/>
    <xf borderId="10" fillId="0" fontId="1" numFmtId="0" xfId="0" applyAlignment="1" applyBorder="1" applyFont="1">
      <alignment horizontal="right" shrinkToFit="0" vertical="top" wrapText="1"/>
    </xf>
    <xf borderId="13" fillId="0" fontId="2" numFmtId="0" xfId="0" applyBorder="1" applyFont="1"/>
    <xf borderId="14" fillId="0" fontId="7" numFmtId="0" xfId="0" applyAlignment="1" applyBorder="1" applyFont="1">
      <alignment horizontal="left" shrinkToFit="0" vertical="center" wrapText="1"/>
    </xf>
    <xf borderId="0" fillId="0" fontId="6" numFmtId="9" xfId="0" applyAlignment="1" applyFont="1" applyNumberFormat="1">
      <alignment horizontal="left" vertical="top"/>
    </xf>
    <xf borderId="11" fillId="0" fontId="13" numFmtId="0" xfId="0" applyAlignment="1" applyBorder="1" applyFont="1">
      <alignment horizontal="left" vertical="center"/>
    </xf>
    <xf borderId="7" fillId="2" fontId="1" numFmtId="0" xfId="0" applyAlignment="1" applyBorder="1" applyFont="1">
      <alignment horizontal="left" shrinkToFit="0" vertical="top" wrapText="1"/>
    </xf>
    <xf borderId="7" fillId="2" fontId="1" numFmtId="0" xfId="0" applyAlignment="1" applyBorder="1" applyFont="1">
      <alignment horizontal="center" shrinkToFit="0" vertical="top" wrapText="1"/>
    </xf>
    <xf borderId="7" fillId="2" fontId="7" numFmtId="0" xfId="0" applyAlignment="1" applyBorder="1" applyFont="1">
      <alignment horizontal="center" shrinkToFit="0" vertical="top" wrapText="1"/>
    </xf>
    <xf borderId="7" fillId="2" fontId="7" numFmtId="0" xfId="0" applyAlignment="1" applyBorder="1" applyFont="1">
      <alignment horizontal="right" shrinkToFit="0" vertical="top" wrapText="1"/>
    </xf>
    <xf borderId="7" fillId="2" fontId="7" numFmtId="0" xfId="0" applyAlignment="1" applyBorder="1" applyFont="1">
      <alignment horizontal="left" shrinkToFit="0" vertical="top" wrapText="1"/>
    </xf>
    <xf borderId="7" fillId="2" fontId="14" numFmtId="0" xfId="0" applyAlignment="1" applyBorder="1" applyFont="1">
      <alignment horizontal="left" readingOrder="0" vertical="top"/>
    </xf>
    <xf borderId="0" fillId="0" fontId="8" numFmtId="2" xfId="0" applyFont="1" applyNumberFormat="1"/>
    <xf borderId="7" fillId="2" fontId="14" numFmtId="0" xfId="0" applyAlignment="1" applyBorder="1" applyFont="1">
      <alignment horizontal="center" readingOrder="0" vertical="top"/>
    </xf>
    <xf borderId="0" fillId="0" fontId="5" numFmtId="2" xfId="0" applyFont="1" applyNumberFormat="1"/>
    <xf borderId="7" fillId="2" fontId="14" numFmtId="165" xfId="0" applyAlignment="1" applyBorder="1" applyFont="1" applyNumberFormat="1">
      <alignment horizontal="left" readingOrder="0" vertical="top"/>
    </xf>
    <xf borderId="15" fillId="0" fontId="13" numFmtId="0" xfId="0" applyAlignment="1" applyBorder="1" applyFont="1">
      <alignment vertical="center"/>
    </xf>
    <xf borderId="16" fillId="0" fontId="12" numFmtId="0" xfId="0" applyAlignment="1" applyBorder="1" applyFont="1">
      <alignment vertical="center"/>
    </xf>
    <xf borderId="7" fillId="5" fontId="15" numFmtId="1" xfId="0" applyAlignment="1" applyBorder="1" applyFill="1" applyFont="1" applyNumberFormat="1">
      <alignment horizontal="left" shrinkToFit="1" vertical="top" wrapText="0"/>
    </xf>
    <xf borderId="7" fillId="3" fontId="8" numFmtId="2" xfId="0" applyAlignment="1" applyBorder="1" applyFont="1" applyNumberFormat="1">
      <alignment horizontal="center"/>
    </xf>
    <xf borderId="16" fillId="0" fontId="13" numFmtId="0" xfId="0" applyAlignment="1" applyBorder="1" applyFont="1">
      <alignment vertical="center"/>
    </xf>
    <xf borderId="7" fillId="5" fontId="1" numFmtId="0" xfId="0" applyAlignment="1" applyBorder="1" applyFont="1">
      <alignment horizontal="left" shrinkToFit="0" vertical="top" wrapText="1"/>
    </xf>
    <xf borderId="7" fillId="5" fontId="7" numFmtId="0" xfId="0" applyAlignment="1" applyBorder="1" applyFont="1">
      <alignment horizontal="left" shrinkToFit="0" wrapText="1"/>
    </xf>
    <xf borderId="15" fillId="0" fontId="13" numFmtId="0" xfId="0" applyAlignment="1" applyBorder="1" applyFont="1">
      <alignment horizontal="center" vertical="center"/>
    </xf>
    <xf borderId="17" fillId="0" fontId="2" numFmtId="0" xfId="0" applyBorder="1" applyFont="1"/>
    <xf borderId="7" fillId="5" fontId="7" numFmtId="0" xfId="0" applyAlignment="1" applyBorder="1" applyFont="1">
      <alignment horizontal="right" shrinkToFit="0" wrapText="1"/>
    </xf>
    <xf borderId="17" fillId="0" fontId="13" numFmtId="0" xfId="0" applyAlignment="1" applyBorder="1" applyFont="1">
      <alignment horizontal="center" vertical="center"/>
    </xf>
    <xf borderId="7" fillId="5" fontId="16" numFmtId="0" xfId="0" applyAlignment="1" applyBorder="1" applyFont="1">
      <alignment horizontal="left" vertical="bottom"/>
    </xf>
    <xf borderId="18" fillId="0" fontId="12" numFmtId="0" xfId="0" applyAlignment="1" applyBorder="1" applyFont="1">
      <alignment vertical="center"/>
    </xf>
    <xf borderId="7" fillId="5" fontId="16" numFmtId="9" xfId="0" applyAlignment="1" applyBorder="1" applyFont="1" applyNumberFormat="1">
      <alignment horizontal="left" vertical="bottom"/>
    </xf>
    <xf borderId="19" fillId="0" fontId="12" numFmtId="0" xfId="0" applyAlignment="1" applyBorder="1" applyFont="1">
      <alignment vertical="center"/>
    </xf>
    <xf borderId="7" fillId="5" fontId="16" numFmtId="165" xfId="0" applyAlignment="1" applyBorder="1" applyFont="1" applyNumberFormat="1">
      <alignment horizontal="left" vertical="bottom"/>
    </xf>
    <xf borderId="7" fillId="5" fontId="16" numFmtId="165" xfId="0" applyAlignment="1" applyBorder="1" applyFont="1" applyNumberFormat="1">
      <alignment horizontal="left" vertical="bottom"/>
    </xf>
    <xf borderId="19" fillId="0" fontId="12" numFmtId="0" xfId="0" applyAlignment="1" applyBorder="1" applyFont="1">
      <alignment vertical="top"/>
    </xf>
    <xf borderId="18" fillId="0" fontId="12" numFmtId="0" xfId="0" applyAlignment="1" applyBorder="1" applyFont="1">
      <alignment horizontal="center"/>
    </xf>
    <xf borderId="20" fillId="0" fontId="2" numFmtId="0" xfId="0" applyBorder="1" applyFont="1"/>
    <xf borderId="20" fillId="0" fontId="13" numFmtId="0" xfId="0" applyAlignment="1" applyBorder="1" applyFont="1">
      <alignment horizontal="center" vertical="center"/>
    </xf>
    <xf borderId="11" fillId="0" fontId="13" numFmtId="0" xfId="0" applyAlignment="1" applyBorder="1" applyFont="1">
      <alignment vertical="center"/>
    </xf>
    <xf borderId="7" fillId="5" fontId="16" numFmtId="0" xfId="0" applyAlignment="1" applyBorder="1" applyFont="1">
      <alignment horizontal="left" vertical="bottom"/>
    </xf>
    <xf borderId="12" fillId="0" fontId="13" numFmtId="0" xfId="0" applyAlignment="1" applyBorder="1" applyFont="1">
      <alignment vertical="center"/>
    </xf>
    <xf borderId="7" fillId="5" fontId="16" numFmtId="10" xfId="0" applyAlignment="1" applyBorder="1" applyFont="1" applyNumberFormat="1">
      <alignment horizontal="left" vertical="bottom"/>
    </xf>
    <xf borderId="18" fillId="0" fontId="12" numFmtId="0" xfId="0" applyBorder="1" applyFont="1"/>
    <xf borderId="20" fillId="0" fontId="13" numFmtId="166" xfId="0" applyAlignment="1" applyBorder="1" applyFont="1" applyNumberFormat="1">
      <alignment horizontal="right" vertical="center"/>
    </xf>
    <xf borderId="4" fillId="0" fontId="1" numFmtId="0" xfId="0" applyAlignment="1" applyBorder="1" applyFont="1">
      <alignment horizontal="left" shrinkToFit="0" vertical="top" wrapText="1"/>
    </xf>
    <xf borderId="0" fillId="0" fontId="13" numFmtId="0" xfId="0" applyAlignment="1" applyFont="1">
      <alignment horizontal="left" vertical="center"/>
    </xf>
    <xf borderId="6" fillId="0" fontId="1" numFmtId="0" xfId="0" applyAlignment="1" applyBorder="1" applyFont="1">
      <alignment horizontal="left" shrinkToFit="0" vertical="top" wrapText="1"/>
    </xf>
    <xf borderId="21" fillId="0" fontId="7" numFmtId="0" xfId="0" applyAlignment="1" applyBorder="1" applyFont="1">
      <alignment horizontal="center" shrinkToFit="0" vertical="top" wrapText="1"/>
    </xf>
    <xf borderId="0" fillId="0" fontId="13" numFmtId="0" xfId="0" applyAlignment="1" applyFont="1">
      <alignment horizontal="center" vertical="center"/>
    </xf>
    <xf borderId="21" fillId="0" fontId="17" numFmtId="2" xfId="0" applyAlignment="1" applyBorder="1" applyFont="1" applyNumberFormat="1">
      <alignment horizontal="right" shrinkToFit="1" vertical="top" wrapText="0"/>
    </xf>
    <xf borderId="21" fillId="0" fontId="17" numFmtId="167" xfId="0" applyAlignment="1" applyBorder="1" applyFont="1" applyNumberFormat="1">
      <alignment horizontal="right" shrinkToFit="1" vertical="top" wrapText="0"/>
    </xf>
    <xf borderId="22" fillId="0" fontId="17" numFmtId="167" xfId="0" applyAlignment="1" applyBorder="1" applyFont="1" applyNumberFormat="1">
      <alignment horizontal="center" shrinkToFit="1" vertical="top" wrapText="0"/>
    </xf>
    <xf borderId="23" fillId="0" fontId="16" numFmtId="0" xfId="0" applyAlignment="1" applyBorder="1" applyFont="1">
      <alignment horizontal="center" readingOrder="0" shrinkToFit="0" vertical="top" wrapText="0"/>
    </xf>
    <xf borderId="0" fillId="0" fontId="13" numFmtId="0" xfId="0" applyAlignment="1" applyFont="1">
      <alignment vertical="center"/>
    </xf>
    <xf borderId="0" fillId="0" fontId="16" numFmtId="0" xfId="0" applyAlignment="1" applyFont="1">
      <alignment horizontal="center" readingOrder="0" shrinkToFit="0" vertical="bottom" wrapText="0"/>
    </xf>
    <xf borderId="24" fillId="0" fontId="13" numFmtId="0" xfId="0" applyAlignment="1" applyBorder="1" applyFont="1">
      <alignment vertical="center"/>
    </xf>
    <xf borderId="0" fillId="0" fontId="18" numFmtId="9" xfId="0" applyAlignment="1" applyFont="1" applyNumberFormat="1">
      <alignment horizontal="left" readingOrder="0" shrinkToFit="0" vertical="top" wrapText="0"/>
    </xf>
    <xf borderId="8" fillId="0" fontId="18" numFmtId="165" xfId="0" applyAlignment="1" applyBorder="1" applyFont="1" applyNumberFormat="1">
      <alignment horizontal="left" readingOrder="0" shrinkToFit="0" vertical="top" wrapText="0"/>
    </xf>
    <xf borderId="0" fillId="0" fontId="19" numFmtId="0" xfId="0" applyAlignment="1" applyFont="1">
      <alignment horizontal="left" readingOrder="0" vertical="top"/>
    </xf>
    <xf borderId="0" fillId="0" fontId="19" numFmtId="9" xfId="0" applyAlignment="1" applyFont="1" applyNumberFormat="1">
      <alignment horizontal="left" readingOrder="0" vertical="top"/>
    </xf>
    <xf borderId="25" fillId="0" fontId="13" numFmtId="0" xfId="0" applyAlignment="1" applyBorder="1" applyFont="1">
      <alignment vertical="center"/>
    </xf>
    <xf borderId="23" fillId="0" fontId="1" numFmtId="0" xfId="0" applyAlignment="1" applyBorder="1" applyFont="1">
      <alignment horizontal="left" shrinkToFit="0" vertical="top" wrapText="1"/>
    </xf>
    <xf borderId="8" fillId="0" fontId="1" numFmtId="0" xfId="0" applyAlignment="1" applyBorder="1" applyFont="1">
      <alignment horizontal="left" shrinkToFit="0" vertical="top" wrapText="1"/>
    </xf>
    <xf borderId="25" fillId="0" fontId="12" numFmtId="0" xfId="0" applyAlignment="1" applyBorder="1" applyFont="1">
      <alignment horizontal="center" vertical="center"/>
    </xf>
    <xf borderId="22" fillId="0" fontId="7" numFmtId="0" xfId="0" applyAlignment="1" applyBorder="1" applyFont="1">
      <alignment horizontal="left" shrinkToFit="0" vertical="top" wrapText="1"/>
    </xf>
    <xf borderId="22" fillId="0" fontId="7" numFmtId="0" xfId="0" applyAlignment="1" applyBorder="1" applyFont="1">
      <alignment horizontal="center" readingOrder="0" shrinkToFit="0" vertical="top" wrapText="1"/>
    </xf>
    <xf borderId="22" fillId="0" fontId="17" numFmtId="2" xfId="0" applyAlignment="1" applyBorder="1" applyFont="1" applyNumberFormat="1">
      <alignment horizontal="right" shrinkToFit="1" vertical="top" wrapText="0"/>
    </xf>
    <xf borderId="22" fillId="0" fontId="17" numFmtId="167" xfId="0" applyAlignment="1" applyBorder="1" applyFont="1" applyNumberFormat="1">
      <alignment horizontal="right" shrinkToFit="1" vertical="top" wrapText="0"/>
    </xf>
    <xf borderId="20" fillId="0" fontId="12" numFmtId="0" xfId="0" applyAlignment="1" applyBorder="1" applyFont="1">
      <alignment horizontal="left" vertical="center"/>
    </xf>
    <xf borderId="20" fillId="0" fontId="12" numFmtId="0" xfId="0" applyAlignment="1" applyBorder="1" applyFont="1">
      <alignment horizontal="center" vertical="center"/>
    </xf>
    <xf borderId="20" fillId="0" fontId="12" numFmtId="168" xfId="0" applyAlignment="1" applyBorder="1" applyFont="1" applyNumberFormat="1">
      <alignment horizontal="center" vertical="center"/>
    </xf>
    <xf borderId="26" fillId="6" fontId="1" numFmtId="0" xfId="0" applyAlignment="1" applyBorder="1" applyFill="1" applyFont="1">
      <alignment horizontal="left" shrinkToFit="0" vertical="top" wrapText="1"/>
    </xf>
    <xf borderId="27" fillId="6" fontId="1" numFmtId="0" xfId="0" applyAlignment="1" applyBorder="1" applyFont="1">
      <alignment horizontal="left" shrinkToFit="0" vertical="top" wrapText="1"/>
    </xf>
    <xf borderId="28" fillId="6" fontId="7" numFmtId="0" xfId="0" applyAlignment="1" applyBorder="1" applyFont="1">
      <alignment horizontal="left" shrinkToFit="0" wrapText="1"/>
    </xf>
    <xf borderId="28" fillId="6" fontId="7" numFmtId="0" xfId="0" applyAlignment="1" applyBorder="1" applyFont="1">
      <alignment horizontal="right" shrinkToFit="0" wrapText="1"/>
    </xf>
    <xf borderId="23" fillId="6" fontId="16" numFmtId="0" xfId="0" applyAlignment="1" applyBorder="1" applyFont="1">
      <alignment horizontal="left" vertical="bottom"/>
    </xf>
    <xf borderId="20" fillId="0" fontId="12" numFmtId="166" xfId="0" applyAlignment="1" applyBorder="1" applyFont="1" applyNumberFormat="1">
      <alignment horizontal="center" vertical="center"/>
    </xf>
    <xf borderId="0" fillId="6" fontId="16" numFmtId="9" xfId="0" applyAlignment="1" applyFont="1" applyNumberFormat="1">
      <alignment horizontal="left" vertical="bottom"/>
    </xf>
    <xf borderId="0" fillId="6" fontId="16" numFmtId="165" xfId="0" applyAlignment="1" applyFont="1" applyNumberFormat="1">
      <alignment horizontal="left" vertical="bottom"/>
    </xf>
    <xf borderId="8" fillId="6" fontId="16" numFmtId="165" xfId="0" applyAlignment="1" applyBorder="1" applyFont="1" applyNumberFormat="1">
      <alignment horizontal="left" vertical="bottom"/>
    </xf>
    <xf borderId="26" fillId="6" fontId="7" numFmtId="0" xfId="0" applyAlignment="1" applyBorder="1" applyFont="1">
      <alignment horizontal="left" shrinkToFit="0" vertical="top" wrapText="1"/>
    </xf>
    <xf borderId="27" fillId="6" fontId="7" numFmtId="0" xfId="0" applyAlignment="1" applyBorder="1" applyFont="1">
      <alignment horizontal="left" shrinkToFit="0" vertical="top" wrapText="1"/>
    </xf>
    <xf borderId="29" fillId="6" fontId="7" numFmtId="0" xfId="0" applyAlignment="1" applyBorder="1" applyFont="1">
      <alignment horizontal="center" shrinkToFit="0" vertical="top" wrapText="1"/>
    </xf>
    <xf borderId="30" fillId="0" fontId="2" numFmtId="0" xfId="0" applyBorder="1" applyFont="1"/>
    <xf borderId="31" fillId="0" fontId="2" numFmtId="0" xfId="0" applyBorder="1" applyFont="1"/>
    <xf borderId="4" fillId="6" fontId="16" numFmtId="0" xfId="0" applyAlignment="1" applyBorder="1" applyFont="1">
      <alignment horizontal="center" readingOrder="0" vertical="top"/>
    </xf>
    <xf borderId="6" fillId="6" fontId="16" numFmtId="165" xfId="0" applyAlignment="1" applyBorder="1" applyFont="1" applyNumberFormat="1">
      <alignment horizontal="center" readingOrder="0" vertical="top"/>
    </xf>
    <xf borderId="0" fillId="0" fontId="20" numFmtId="0" xfId="0" applyAlignment="1" applyFont="1">
      <alignment horizontal="left" vertical="center"/>
    </xf>
    <xf borderId="0" fillId="0" fontId="20" numFmtId="0" xfId="0" applyAlignment="1" applyFont="1">
      <alignment horizontal="center" vertical="center"/>
    </xf>
    <xf borderId="32" fillId="0" fontId="13" numFmtId="0" xfId="0" applyAlignment="1" applyBorder="1" applyFont="1">
      <alignment horizontal="center" vertical="center"/>
    </xf>
    <xf borderId="20" fillId="0" fontId="21" numFmtId="166" xfId="0" applyAlignment="1" applyBorder="1" applyFont="1" applyNumberFormat="1">
      <alignment horizontal="center" vertical="center"/>
    </xf>
    <xf borderId="0" fillId="0" fontId="12" numFmtId="0" xfId="0" applyAlignment="1" applyFont="1">
      <alignment horizontal="left"/>
    </xf>
    <xf borderId="0" fillId="0" fontId="12" numFmtId="0" xfId="0" applyAlignment="1" applyFont="1">
      <alignment horizontal="center"/>
    </xf>
    <xf borderId="33" fillId="6" fontId="7" numFmtId="0" xfId="0" applyAlignment="1" applyBorder="1" applyFont="1">
      <alignment horizontal="left" shrinkToFit="0" vertical="top" wrapText="1"/>
    </xf>
    <xf borderId="34" fillId="6" fontId="7" numFmtId="0" xfId="0" applyAlignment="1" applyBorder="1" applyFont="1">
      <alignment horizontal="left" shrinkToFit="0" vertical="top" wrapText="1"/>
    </xf>
    <xf borderId="19" fillId="0" fontId="13" numFmtId="0" xfId="0" applyAlignment="1" applyBorder="1" applyFont="1">
      <alignment horizontal="left" vertical="center"/>
    </xf>
    <xf borderId="19" fillId="0" fontId="2" numFmtId="0" xfId="0" applyBorder="1" applyFont="1"/>
    <xf borderId="24" fillId="0" fontId="13" numFmtId="0" xfId="0" applyAlignment="1" applyBorder="1" applyFont="1">
      <alignment horizontal="left" vertical="center"/>
    </xf>
    <xf borderId="17" fillId="0" fontId="13" numFmtId="0" xfId="0" applyAlignment="1" applyBorder="1" applyFont="1">
      <alignment horizontal="left" vertical="center"/>
    </xf>
    <xf borderId="1" fillId="5" fontId="7" numFmtId="0" xfId="0" applyAlignment="1" applyBorder="1" applyFont="1">
      <alignment horizontal="left" shrinkToFit="0" wrapText="1"/>
    </xf>
    <xf borderId="25" fillId="0" fontId="13" numFmtId="0" xfId="0" applyAlignment="1" applyBorder="1" applyFont="1">
      <alignment horizontal="left" vertical="center"/>
    </xf>
    <xf borderId="20" fillId="0" fontId="13" numFmtId="0" xfId="0" applyAlignment="1" applyBorder="1" applyFont="1">
      <alignment horizontal="left" vertical="center"/>
    </xf>
    <xf borderId="1" fillId="5" fontId="1" numFmtId="0" xfId="0" applyAlignment="1" applyBorder="1" applyFont="1">
      <alignment horizontal="center" shrinkToFit="0" vertical="top" wrapText="1"/>
    </xf>
    <xf borderId="7" fillId="5" fontId="22" numFmtId="167" xfId="0" applyAlignment="1" applyBorder="1" applyFont="1" applyNumberFormat="1">
      <alignment horizontal="center" shrinkToFit="1" vertical="top" wrapText="0"/>
    </xf>
    <xf borderId="23" fillId="5" fontId="23" numFmtId="0" xfId="0" applyAlignment="1" applyBorder="1" applyFont="1">
      <alignment horizontal="center" shrinkToFit="0" vertical="top" wrapText="0"/>
    </xf>
    <xf borderId="0" fillId="5" fontId="23" numFmtId="9" xfId="0" applyAlignment="1" applyFont="1" applyNumberFormat="1">
      <alignment horizontal="center" shrinkToFit="0" vertical="top" wrapText="0"/>
    </xf>
    <xf borderId="0" fillId="5" fontId="23" numFmtId="165" xfId="0" applyAlignment="1" applyFont="1" applyNumberFormat="1">
      <alignment horizontal="center" shrinkToFit="0" vertical="top" wrapText="0"/>
    </xf>
    <xf borderId="8" fillId="5" fontId="23" numFmtId="165" xfId="0" applyAlignment="1" applyBorder="1" applyFont="1" applyNumberFormat="1">
      <alignment horizontal="center" shrinkToFit="0" vertical="top" wrapText="0"/>
    </xf>
    <xf borderId="25" fillId="0" fontId="20" numFmtId="0" xfId="0" applyAlignment="1" applyBorder="1" applyFont="1">
      <alignment horizontal="center" vertical="center"/>
    </xf>
    <xf borderId="25" fillId="0" fontId="20" numFmtId="0" xfId="0" applyAlignment="1" applyBorder="1" applyFont="1">
      <alignment horizontal="left" vertical="center"/>
    </xf>
    <xf borderId="7" fillId="5" fontId="1" numFmtId="0" xfId="0" applyAlignment="1" applyBorder="1" applyFont="1">
      <alignment horizontal="center" shrinkToFit="0" vertical="top" wrapText="1"/>
    </xf>
    <xf borderId="7" fillId="0" fontId="5" numFmtId="169" xfId="0" applyBorder="1" applyFont="1" applyNumberFormat="1"/>
    <xf borderId="23" fillId="5" fontId="16" numFmtId="0" xfId="0" applyAlignment="1" applyBorder="1" applyFont="1">
      <alignment horizontal="left" vertical="bottom"/>
    </xf>
    <xf borderId="0" fillId="5" fontId="16" numFmtId="9" xfId="0" applyAlignment="1" applyFont="1" applyNumberFormat="1">
      <alignment horizontal="left" vertical="bottom"/>
    </xf>
    <xf borderId="0" fillId="5" fontId="16" numFmtId="165" xfId="0" applyAlignment="1" applyFont="1" applyNumberFormat="1">
      <alignment horizontal="left" vertical="bottom"/>
    </xf>
    <xf borderId="8" fillId="5" fontId="16" numFmtId="165" xfId="0" applyAlignment="1" applyBorder="1" applyFont="1" applyNumberFormat="1">
      <alignment horizontal="left" vertical="bottom"/>
    </xf>
    <xf borderId="25" fillId="0" fontId="20" numFmtId="166" xfId="0" applyAlignment="1" applyBorder="1" applyFont="1" applyNumberFormat="1">
      <alignment horizontal="center" vertical="center"/>
    </xf>
    <xf borderId="35" fillId="2" fontId="1" numFmtId="0" xfId="0" applyAlignment="1" applyBorder="1" applyFont="1">
      <alignment horizontal="left" shrinkToFit="0" vertical="top" wrapText="1"/>
    </xf>
    <xf borderId="36" fillId="2" fontId="1" numFmtId="0" xfId="0" applyAlignment="1" applyBorder="1" applyFont="1">
      <alignment horizontal="left" shrinkToFit="0" vertical="top" wrapText="1"/>
    </xf>
    <xf borderId="37" fillId="2" fontId="7" numFmtId="0" xfId="0" applyAlignment="1" applyBorder="1" applyFont="1">
      <alignment horizontal="left" shrinkToFit="0" wrapText="1"/>
    </xf>
    <xf borderId="37" fillId="2" fontId="7" numFmtId="0" xfId="0" applyAlignment="1" applyBorder="1" applyFont="1">
      <alignment horizontal="right" shrinkToFit="0" wrapText="1"/>
    </xf>
    <xf borderId="23" fillId="2" fontId="16" numFmtId="0" xfId="0" applyAlignment="1" applyBorder="1" applyFont="1">
      <alignment horizontal="left" vertical="bottom"/>
    </xf>
    <xf borderId="0" fillId="2" fontId="16" numFmtId="9" xfId="0" applyAlignment="1" applyFont="1" applyNumberFormat="1">
      <alignment horizontal="left" vertical="bottom"/>
    </xf>
    <xf borderId="0" fillId="2" fontId="16" numFmtId="165" xfId="0" applyAlignment="1" applyFont="1" applyNumberFormat="1">
      <alignment horizontal="left" vertical="bottom"/>
    </xf>
    <xf borderId="8" fillId="2" fontId="16" numFmtId="165" xfId="0" applyAlignment="1" applyBorder="1" applyFont="1" applyNumberFormat="1">
      <alignment horizontal="left" vertical="bottom"/>
    </xf>
    <xf borderId="20" fillId="0" fontId="20" numFmtId="0" xfId="0" applyAlignment="1" applyBorder="1" applyFont="1">
      <alignment horizontal="left" vertical="center"/>
    </xf>
    <xf borderId="20" fillId="0" fontId="20" numFmtId="0" xfId="0" applyAlignment="1" applyBorder="1" applyFont="1">
      <alignment horizontal="center" vertical="center"/>
    </xf>
    <xf borderId="38" fillId="6" fontId="7" numFmtId="0" xfId="0" applyAlignment="1" applyBorder="1" applyFont="1">
      <alignment horizontal="left" shrinkToFit="0" wrapText="1"/>
    </xf>
    <xf borderId="38" fillId="6" fontId="7" numFmtId="0" xfId="0" applyAlignment="1" applyBorder="1" applyFont="1">
      <alignment horizontal="right" shrinkToFit="0" wrapText="1"/>
    </xf>
    <xf borderId="20" fillId="0" fontId="20" numFmtId="166" xfId="0" applyAlignment="1" applyBorder="1" applyFont="1" applyNumberFormat="1">
      <alignment horizontal="center" vertical="center"/>
    </xf>
    <xf borderId="23" fillId="0" fontId="7" numFmtId="0" xfId="0" applyAlignment="1" applyBorder="1" applyFont="1">
      <alignment horizontal="left" shrinkToFit="0" vertical="top" wrapText="1"/>
    </xf>
    <xf borderId="25" fillId="0" fontId="13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left" shrinkToFit="0" vertical="top" wrapText="1"/>
    </xf>
    <xf borderId="22" fillId="0" fontId="7" numFmtId="0" xfId="0" applyAlignment="1" applyBorder="1" applyFont="1">
      <alignment horizontal="center" shrinkToFit="0" vertical="top" wrapText="1"/>
    </xf>
    <xf borderId="39" fillId="0" fontId="12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left" vertical="center"/>
    </xf>
    <xf borderId="13" fillId="0" fontId="12" numFmtId="0" xfId="0" applyAlignment="1" applyBorder="1" applyFont="1">
      <alignment horizontal="center" vertical="center"/>
    </xf>
    <xf borderId="13" fillId="0" fontId="12" numFmtId="2" xfId="0" applyAlignment="1" applyBorder="1" applyFont="1" applyNumberFormat="1">
      <alignment horizontal="center" vertical="center"/>
    </xf>
    <xf borderId="25" fillId="0" fontId="13" numFmtId="166" xfId="0" applyAlignment="1" applyBorder="1" applyFont="1" applyNumberFormat="1">
      <alignment horizontal="center" vertical="center"/>
    </xf>
    <xf borderId="22" fillId="0" fontId="17" numFmtId="4" xfId="0" applyAlignment="1" applyBorder="1" applyFont="1" applyNumberFormat="1">
      <alignment horizontal="right" shrinkToFit="1" vertical="top" wrapText="0"/>
    </xf>
    <xf borderId="19" fillId="0" fontId="13" numFmtId="0" xfId="0" applyAlignment="1" applyBorder="1" applyFont="1">
      <alignment vertical="center"/>
    </xf>
    <xf borderId="23" fillId="0" fontId="16" numFmtId="0" xfId="0" applyAlignment="1" applyBorder="1" applyFont="1">
      <alignment horizontal="center" shrinkToFit="0" vertical="top" wrapText="0"/>
    </xf>
    <xf borderId="0" fillId="0" fontId="16" numFmtId="9" xfId="0" applyAlignment="1" applyFont="1" applyNumberFormat="1">
      <alignment horizontal="center" shrinkToFit="0" vertical="bottom" wrapText="0"/>
    </xf>
    <xf borderId="25" fillId="0" fontId="20" numFmtId="0" xfId="0" applyAlignment="1" applyBorder="1" applyFont="1">
      <alignment vertical="center"/>
    </xf>
    <xf borderId="20" fillId="0" fontId="20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0" fillId="0" fontId="13" numFmtId="0" xfId="0" applyFont="1"/>
    <xf borderId="0" fillId="0" fontId="12" numFmtId="0" xfId="0" applyAlignment="1" applyFont="1">
      <alignment horizontal="center" vertical="center"/>
    </xf>
    <xf borderId="20" fillId="0" fontId="13" numFmtId="2" xfId="0" applyAlignment="1" applyBorder="1" applyFont="1" applyNumberFormat="1">
      <alignment horizontal="right" vertical="center"/>
    </xf>
    <xf borderId="8" fillId="6" fontId="16" numFmtId="9" xfId="0" applyAlignment="1" applyBorder="1" applyFont="1" applyNumberFormat="1">
      <alignment horizontal="left" vertical="bottom"/>
    </xf>
    <xf borderId="25" fillId="0" fontId="12" numFmtId="0" xfId="0" applyAlignment="1" applyBorder="1" applyFont="1">
      <alignment vertical="center"/>
    </xf>
    <xf borderId="7" fillId="3" fontId="8" numFmtId="2" xfId="0" applyAlignment="1" applyBorder="1" applyFont="1" applyNumberFormat="1">
      <alignment horizontal="right"/>
    </xf>
    <xf borderId="25" fillId="0" fontId="12" numFmtId="168" xfId="0" applyAlignment="1" applyBorder="1" applyFont="1" applyNumberFormat="1">
      <alignment horizontal="center" vertical="center"/>
    </xf>
    <xf borderId="25" fillId="0" fontId="12" numFmtId="166" xfId="0" applyAlignment="1" applyBorder="1" applyFont="1" applyNumberFormat="1">
      <alignment horizontal="center" vertical="center"/>
    </xf>
    <xf borderId="7" fillId="0" fontId="5" numFmtId="164" xfId="0" applyBorder="1" applyFont="1" applyNumberFormat="1"/>
    <xf borderId="20" fillId="0" fontId="12" numFmtId="0" xfId="0" applyAlignment="1" applyBorder="1" applyFont="1">
      <alignment vertical="center"/>
    </xf>
    <xf borderId="32" fillId="0" fontId="13" numFmtId="168" xfId="0" applyAlignment="1" applyBorder="1" applyFont="1" applyNumberFormat="1">
      <alignment horizontal="center" vertical="center"/>
    </xf>
    <xf borderId="0" fillId="0" fontId="13" numFmtId="168" xfId="0" applyAlignment="1" applyFont="1" applyNumberFormat="1">
      <alignment horizontal="center" vertical="center"/>
    </xf>
    <xf borderId="0" fillId="0" fontId="21" numFmtId="166" xfId="0" applyAlignment="1" applyFont="1" applyNumberFormat="1">
      <alignment horizontal="center" vertical="center"/>
    </xf>
    <xf borderId="19" fillId="0" fontId="12" numFmtId="0" xfId="0" applyBorder="1" applyFont="1"/>
    <xf borderId="25" fillId="0" fontId="20" numFmtId="164" xfId="0" applyAlignment="1" applyBorder="1" applyFont="1" applyNumberFormat="1">
      <alignment horizontal="center" vertical="center"/>
    </xf>
    <xf borderId="26" fillId="2" fontId="1" numFmtId="0" xfId="0" applyAlignment="1" applyBorder="1" applyFont="1">
      <alignment horizontal="left" shrinkToFit="0" vertical="top" wrapText="1"/>
    </xf>
    <xf borderId="27" fillId="2" fontId="1" numFmtId="0" xfId="0" applyAlignment="1" applyBorder="1" applyFont="1">
      <alignment horizontal="left" shrinkToFit="0" vertical="top" wrapText="1"/>
    </xf>
    <xf borderId="25" fillId="0" fontId="20" numFmtId="2" xfId="0" applyAlignment="1" applyBorder="1" applyFont="1" applyNumberFormat="1">
      <alignment horizontal="center" vertical="center"/>
    </xf>
    <xf borderId="38" fillId="2" fontId="7" numFmtId="0" xfId="0" applyAlignment="1" applyBorder="1" applyFont="1">
      <alignment horizontal="left" shrinkToFit="0" wrapText="1"/>
    </xf>
    <xf borderId="38" fillId="2" fontId="7" numFmtId="0" xfId="0" applyAlignment="1" applyBorder="1" applyFont="1">
      <alignment horizontal="right" shrinkToFit="0" wrapText="1"/>
    </xf>
    <xf borderId="8" fillId="2" fontId="16" numFmtId="9" xfId="0" applyAlignment="1" applyBorder="1" applyFont="1" applyNumberFormat="1">
      <alignment horizontal="left" vertical="bottom"/>
    </xf>
    <xf borderId="20" fillId="0" fontId="13" numFmtId="0" xfId="0" applyAlignment="1" applyBorder="1" applyFont="1">
      <alignment vertical="center"/>
    </xf>
    <xf borderId="20" fillId="0" fontId="20" numFmtId="2" xfId="0" applyAlignment="1" applyBorder="1" applyFont="1" applyNumberFormat="1">
      <alignment horizontal="center" vertical="center"/>
    </xf>
    <xf borderId="13" fillId="0" fontId="12" numFmtId="0" xfId="0" applyAlignment="1" applyBorder="1" applyFont="1">
      <alignment vertical="center"/>
    </xf>
    <xf borderId="25" fillId="0" fontId="13" numFmtId="170" xfId="0" applyAlignment="1" applyBorder="1" applyFont="1" applyNumberFormat="1">
      <alignment horizontal="center" vertical="center"/>
    </xf>
    <xf borderId="25" fillId="0" fontId="20" numFmtId="169" xfId="0" applyAlignment="1" applyBorder="1" applyFont="1" applyNumberFormat="1">
      <alignment horizontal="center" vertical="center"/>
    </xf>
    <xf borderId="25" fillId="0" fontId="20" numFmtId="168" xfId="0" applyAlignment="1" applyBorder="1" applyFont="1" applyNumberFormat="1">
      <alignment horizontal="center" vertical="center"/>
    </xf>
    <xf borderId="25" fillId="0" fontId="20" numFmtId="168" xfId="0" applyAlignment="1" applyBorder="1" applyFont="1" applyNumberFormat="1">
      <alignment vertical="center"/>
    </xf>
    <xf borderId="25" fillId="0" fontId="20" numFmtId="166" xfId="0" applyAlignment="1" applyBorder="1" applyFont="1" applyNumberFormat="1">
      <alignment vertical="center"/>
    </xf>
    <xf borderId="20" fillId="0" fontId="20" numFmtId="168" xfId="0" applyAlignment="1" applyBorder="1" applyFont="1" applyNumberFormat="1">
      <alignment vertical="center"/>
    </xf>
    <xf borderId="20" fillId="0" fontId="20" numFmtId="166" xfId="0" applyAlignment="1" applyBorder="1" applyFont="1" applyNumberFormat="1">
      <alignment horizontal="right" vertical="center"/>
    </xf>
    <xf borderId="32" fillId="0" fontId="13" numFmtId="168" xfId="0" applyAlignment="1" applyBorder="1" applyFont="1" applyNumberFormat="1">
      <alignment horizontal="right" vertical="center"/>
    </xf>
    <xf borderId="20" fillId="0" fontId="21" numFmtId="166" xfId="0" applyAlignment="1" applyBorder="1" applyFont="1" applyNumberFormat="1">
      <alignment horizontal="right" vertical="center"/>
    </xf>
    <xf borderId="0" fillId="0" fontId="5" numFmtId="0" xfId="0" applyAlignment="1" applyFont="1">
      <alignment horizontal="right"/>
    </xf>
    <xf borderId="25" fillId="0" fontId="12" numFmtId="0" xfId="0" applyAlignment="1" applyBorder="1" applyFont="1">
      <alignment horizontal="left" vertical="center"/>
    </xf>
    <xf borderId="23" fillId="0" fontId="17" numFmtId="171" xfId="0" applyAlignment="1" applyBorder="1" applyFont="1" applyNumberFormat="1">
      <alignment horizontal="left" shrinkToFit="1" vertical="top" wrapText="0"/>
    </xf>
    <xf borderId="7" fillId="0" fontId="5" numFmtId="172" xfId="0" applyBorder="1" applyFont="1" applyNumberFormat="1"/>
    <xf borderId="32" fillId="0" fontId="13" numFmtId="0" xfId="0" applyAlignment="1" applyBorder="1" applyFont="1">
      <alignment horizontal="right" vertical="center"/>
    </xf>
    <xf borderId="25" fillId="0" fontId="20" numFmtId="164" xfId="0" applyAlignment="1" applyBorder="1" applyFont="1" applyNumberFormat="1">
      <alignment vertical="center"/>
    </xf>
    <xf borderId="25" fillId="0" fontId="13" numFmtId="0" xfId="0" applyAlignment="1" applyBorder="1" applyFont="1">
      <alignment horizontal="right" vertical="center"/>
    </xf>
    <xf borderId="39" fillId="0" fontId="12" numFmtId="0" xfId="0" applyAlignment="1" applyBorder="1" applyFont="1">
      <alignment vertical="center"/>
    </xf>
    <xf borderId="13" fillId="0" fontId="12" numFmtId="2" xfId="0" applyAlignment="1" applyBorder="1" applyFont="1" applyNumberFormat="1">
      <alignment horizontal="right" vertical="center"/>
    </xf>
    <xf borderId="20" fillId="0" fontId="12" numFmtId="166" xfId="0" applyAlignment="1" applyBorder="1" applyFont="1" applyNumberFormat="1">
      <alignment horizontal="right" vertical="center"/>
    </xf>
    <xf borderId="25" fillId="0" fontId="13" numFmtId="166" xfId="0" applyAlignment="1" applyBorder="1" applyFont="1" applyNumberFormat="1">
      <alignment horizontal="right" vertical="center"/>
    </xf>
    <xf borderId="25" fillId="0" fontId="20" numFmtId="169" xfId="0" applyAlignment="1" applyBorder="1" applyFont="1" applyNumberFormat="1">
      <alignment vertical="center"/>
    </xf>
    <xf borderId="23" fillId="0" fontId="24" numFmtId="171" xfId="0" applyAlignment="1" applyBorder="1" applyFont="1" applyNumberFormat="1">
      <alignment horizontal="left" shrinkToFit="1" vertical="top" wrapText="0"/>
    </xf>
    <xf borderId="22" fillId="0" fontId="7" numFmtId="0" xfId="0" applyAlignment="1" applyBorder="1" applyFont="1">
      <alignment horizontal="left" shrinkToFit="0" wrapText="1"/>
    </xf>
    <xf borderId="22" fillId="0" fontId="7" numFmtId="2" xfId="0" applyAlignment="1" applyBorder="1" applyFont="1" applyNumberFormat="1">
      <alignment horizontal="left" shrinkToFit="0" wrapText="1"/>
    </xf>
    <xf borderId="22" fillId="0" fontId="7" numFmtId="0" xfId="0" applyAlignment="1" applyBorder="1" applyFont="1">
      <alignment horizontal="right" shrinkToFit="0" wrapText="1"/>
    </xf>
    <xf borderId="25" fillId="0" fontId="12" numFmtId="168" xfId="0" applyAlignment="1" applyBorder="1" applyFont="1" applyNumberFormat="1">
      <alignment vertical="center"/>
    </xf>
    <xf borderId="25" fillId="0" fontId="12" numFmtId="166" xfId="0" applyAlignment="1" applyBorder="1" applyFont="1" applyNumberFormat="1">
      <alignment vertical="center"/>
    </xf>
    <xf borderId="20" fillId="0" fontId="12" numFmtId="166" xfId="0" applyAlignment="1" applyBorder="1" applyFont="1" applyNumberFormat="1">
      <alignment vertical="center"/>
    </xf>
    <xf borderId="0" fillId="0" fontId="13" numFmtId="168" xfId="0" applyAlignment="1" applyFont="1" applyNumberFormat="1">
      <alignment horizontal="right" vertical="center"/>
    </xf>
    <xf borderId="0" fillId="0" fontId="21" numFmtId="166" xfId="0" applyAlignment="1" applyFont="1" applyNumberFormat="1">
      <alignment horizontal="right" vertical="center"/>
    </xf>
    <xf borderId="0" fillId="0" fontId="12" numFmtId="166" xfId="0" applyFont="1" applyNumberFormat="1"/>
    <xf borderId="17" fillId="0" fontId="13" numFmtId="166" xfId="0" applyAlignment="1" applyBorder="1" applyFont="1" applyNumberFormat="1">
      <alignment horizontal="center" vertical="center"/>
    </xf>
    <xf borderId="20" fillId="0" fontId="13" numFmtId="166" xfId="0" applyAlignment="1" applyBorder="1" applyFont="1" applyNumberFormat="1">
      <alignment horizontal="center" vertical="center"/>
    </xf>
    <xf borderId="23" fillId="0" fontId="16" numFmtId="0" xfId="0" applyAlignment="1" applyBorder="1" applyFont="1">
      <alignment horizontal="left" vertical="bottom"/>
    </xf>
    <xf borderId="25" fillId="0" fontId="13" numFmtId="168" xfId="0" applyAlignment="1" applyBorder="1" applyFont="1" applyNumberFormat="1">
      <alignment horizontal="right" vertical="center"/>
    </xf>
    <xf borderId="20" fillId="0" fontId="12" numFmtId="168" xfId="0" applyAlignment="1" applyBorder="1" applyFont="1" applyNumberFormat="1">
      <alignment vertical="center"/>
    </xf>
    <xf borderId="0" fillId="0" fontId="6" numFmtId="167" xfId="0" applyAlignment="1" applyFont="1" applyNumberFormat="1">
      <alignment horizontal="left" vertical="top"/>
    </xf>
    <xf borderId="9" fillId="0" fontId="17" numFmtId="171" xfId="0" applyAlignment="1" applyBorder="1" applyFont="1" applyNumberFormat="1">
      <alignment horizontal="left" shrinkToFit="1" vertical="top" wrapText="0"/>
    </xf>
    <xf borderId="14" fillId="0" fontId="7" numFmtId="0" xfId="0" applyAlignment="1" applyBorder="1" applyFont="1">
      <alignment horizontal="left" shrinkToFit="0" vertical="top" wrapText="1"/>
    </xf>
    <xf borderId="40" fillId="0" fontId="7" numFmtId="0" xfId="0" applyAlignment="1" applyBorder="1" applyFont="1">
      <alignment horizontal="center" shrinkToFit="0" vertical="top" wrapText="1"/>
    </xf>
    <xf borderId="40" fillId="0" fontId="17" numFmtId="2" xfId="0" applyAlignment="1" applyBorder="1" applyFont="1" applyNumberFormat="1">
      <alignment horizontal="right" shrinkToFit="1" vertical="top" wrapText="0"/>
    </xf>
    <xf borderId="40" fillId="0" fontId="17" numFmtId="167" xfId="0" applyAlignment="1" applyBorder="1" applyFont="1" applyNumberFormat="1">
      <alignment horizontal="right" shrinkToFit="1" vertical="top" wrapText="0"/>
    </xf>
    <xf borderId="36" fillId="7" fontId="25" numFmtId="167" xfId="0" applyAlignment="1" applyBorder="1" applyFill="1" applyFont="1" applyNumberFormat="1">
      <alignment horizontal="center" shrinkToFit="1" vertical="top" wrapText="0"/>
    </xf>
    <xf borderId="23" fillId="7" fontId="23" numFmtId="0" xfId="0" applyAlignment="1" applyBorder="1" applyFont="1">
      <alignment horizontal="center" shrinkToFit="0" vertical="top" wrapText="0"/>
    </xf>
    <xf borderId="0" fillId="7" fontId="23" numFmtId="9" xfId="0" applyAlignment="1" applyFont="1" applyNumberFormat="1">
      <alignment horizontal="center" shrinkToFit="0" vertical="top" wrapText="0"/>
    </xf>
    <xf borderId="8" fillId="7" fontId="23" numFmtId="9" xfId="0" applyAlignment="1" applyBorder="1" applyFont="1" applyNumberFormat="1">
      <alignment horizontal="center" shrinkToFit="0" vertical="top" wrapText="0"/>
    </xf>
    <xf borderId="8" fillId="5" fontId="16" numFmtId="9" xfId="0" applyAlignment="1" applyBorder="1" applyFont="1" applyNumberFormat="1">
      <alignment horizontal="left" vertical="bottom"/>
    </xf>
    <xf borderId="0" fillId="0" fontId="12" numFmtId="168" xfId="0" applyFont="1" applyNumberFormat="1"/>
    <xf borderId="14" fillId="0" fontId="1" numFmtId="0" xfId="0" applyAlignment="1" applyBorder="1" applyFont="1">
      <alignment horizontal="left" shrinkToFit="0" vertical="top" wrapText="1"/>
    </xf>
    <xf borderId="29" fillId="5" fontId="7" numFmtId="0" xfId="0" applyAlignment="1" applyBorder="1" applyFont="1">
      <alignment horizontal="left" shrinkToFit="0" wrapText="1"/>
    </xf>
    <xf borderId="35" fillId="5" fontId="1" numFmtId="0" xfId="0" applyAlignment="1" applyBorder="1" applyFont="1">
      <alignment shrinkToFit="0" vertical="top" wrapText="1"/>
    </xf>
    <xf borderId="41" fillId="5" fontId="26" numFmtId="0" xfId="0" applyAlignment="1" applyBorder="1" applyFont="1">
      <alignment horizontal="center" shrinkToFit="0" vertical="top" wrapText="1"/>
    </xf>
    <xf borderId="37" fillId="5" fontId="22" numFmtId="167" xfId="0" applyAlignment="1" applyBorder="1" applyFont="1" applyNumberFormat="1">
      <alignment horizontal="center" shrinkToFit="1" vertical="top" wrapText="0"/>
    </xf>
    <xf borderId="9" fillId="5" fontId="23" numFmtId="0" xfId="0" applyAlignment="1" applyBorder="1" applyFont="1">
      <alignment horizontal="center" shrinkToFit="0" vertical="top" wrapText="0"/>
    </xf>
    <xf borderId="10" fillId="5" fontId="23" numFmtId="9" xfId="0" applyAlignment="1" applyBorder="1" applyFont="1" applyNumberFormat="1">
      <alignment horizontal="center" shrinkToFit="0" vertical="top" wrapText="0"/>
    </xf>
    <xf borderId="10" fillId="5" fontId="23" numFmtId="165" xfId="0" applyAlignment="1" applyBorder="1" applyFont="1" applyNumberFormat="1">
      <alignment horizontal="center" shrinkToFit="0" vertical="top" wrapText="0"/>
    </xf>
    <xf borderId="14" fillId="5" fontId="23" numFmtId="165" xfId="0" applyAlignment="1" applyBorder="1" applyFont="1" applyNumberFormat="1">
      <alignment horizontal="center" shrinkToFit="0" vertical="top" wrapText="0"/>
    </xf>
    <xf borderId="29" fillId="2" fontId="1" numFmtId="0" xfId="0" applyAlignment="1" applyBorder="1" applyFont="1">
      <alignment horizontal="right" shrinkToFit="0" vertical="top" wrapText="1"/>
    </xf>
    <xf borderId="5" fillId="0" fontId="7" numFmtId="0" xfId="0" applyAlignment="1" applyBorder="1" applyFont="1">
      <alignment horizontal="center" shrinkToFit="0" wrapText="1"/>
    </xf>
    <xf borderId="6" fillId="0" fontId="17" numFmtId="167" xfId="0" applyAlignment="1" applyBorder="1" applyFont="1" applyNumberFormat="1">
      <alignment horizontal="center" shrinkToFit="1" vertical="top" wrapText="0"/>
    </xf>
    <xf borderId="0" fillId="0" fontId="16" numFmtId="0" xfId="0" applyAlignment="1" applyFont="1">
      <alignment horizontal="center" shrinkToFit="0" vertical="top" wrapText="0"/>
    </xf>
    <xf borderId="0" fillId="0" fontId="16" numFmtId="0" xfId="0" applyAlignment="1" applyFont="1">
      <alignment horizontal="center" shrinkToFit="0" vertical="bottom" wrapText="0"/>
    </xf>
    <xf borderId="0" fillId="0" fontId="27" numFmtId="165" xfId="0" applyAlignment="1" applyFont="1" applyNumberFormat="1">
      <alignment shrinkToFit="0" vertical="bottom" wrapText="0"/>
    </xf>
    <xf borderId="21" fillId="0" fontId="16" numFmtId="165" xfId="0" applyAlignment="1" applyBorder="1" applyFont="1" applyNumberFormat="1">
      <alignment horizontal="left" readingOrder="0" shrinkToFit="0" vertical="top" wrapText="0"/>
    </xf>
    <xf borderId="42" fillId="2" fontId="1" numFmtId="0" xfId="0" applyAlignment="1" applyBorder="1" applyFont="1">
      <alignment horizontal="right" shrinkToFit="0" vertical="top" wrapText="1"/>
    </xf>
    <xf borderId="43" fillId="0" fontId="2" numFmtId="0" xfId="0" applyBorder="1" applyFont="1"/>
    <xf borderId="44" fillId="0" fontId="2" numFmtId="0" xfId="0" applyBorder="1" applyFont="1"/>
    <xf borderId="0" fillId="0" fontId="17" numFmtId="10" xfId="0" applyAlignment="1" applyFont="1" applyNumberFormat="1">
      <alignment horizontal="right" shrinkToFit="1" vertical="top" wrapText="0"/>
    </xf>
    <xf borderId="8" fillId="0" fontId="2" numFmtId="0" xfId="0" applyBorder="1" applyFont="1"/>
    <xf borderId="8" fillId="0" fontId="17" numFmtId="167" xfId="0" applyAlignment="1" applyBorder="1" applyFont="1" applyNumberFormat="1">
      <alignment horizontal="center" shrinkToFit="1" vertical="top" wrapText="0"/>
    </xf>
    <xf borderId="0" fillId="0" fontId="18" numFmtId="9" xfId="0" applyAlignment="1" applyFont="1" applyNumberFormat="1">
      <alignment horizontal="left" shrinkToFit="0" vertical="top" wrapText="0"/>
    </xf>
    <xf borderId="22" fillId="0" fontId="16" numFmtId="165" xfId="0" applyAlignment="1" applyBorder="1" applyFont="1" applyNumberFormat="1">
      <alignment horizontal="left" readingOrder="0" shrinkToFit="0" vertical="bottom" wrapText="0"/>
    </xf>
    <xf borderId="0" fillId="0" fontId="18" numFmtId="165" xfId="0" applyAlignment="1" applyFont="1" applyNumberFormat="1">
      <alignment horizontal="left" shrinkToFit="0" vertical="top" wrapText="0"/>
    </xf>
    <xf borderId="22" fillId="0" fontId="16" numFmtId="165" xfId="0" applyAlignment="1" applyBorder="1" applyFont="1" applyNumberFormat="1">
      <alignment horizontal="left" readingOrder="0" shrinkToFit="0" vertical="top" wrapText="0"/>
    </xf>
    <xf borderId="0" fillId="0" fontId="7" numFmtId="10" xfId="0" applyAlignment="1" applyFont="1" applyNumberFormat="1">
      <alignment horizontal="right" shrinkToFit="0" vertical="top" wrapText="1"/>
    </xf>
    <xf borderId="7" fillId="0" fontId="16" numFmtId="165" xfId="0" applyAlignment="1" applyBorder="1" applyFont="1" applyNumberFormat="1">
      <alignment horizontal="left" readingOrder="0" shrinkToFit="0" vertical="top" wrapText="0"/>
    </xf>
    <xf borderId="7" fillId="0" fontId="5" numFmtId="1" xfId="0" applyBorder="1" applyFont="1" applyNumberFormat="1"/>
    <xf borderId="45" fillId="2" fontId="1" numFmtId="0" xfId="0" applyAlignment="1" applyBorder="1" applyFont="1">
      <alignment horizontal="right" shrinkToFit="0" vertical="top" wrapText="1"/>
    </xf>
    <xf borderId="46" fillId="0" fontId="2" numFmtId="0" xfId="0" applyBorder="1" applyFont="1"/>
    <xf borderId="47" fillId="0" fontId="2" numFmtId="0" xfId="0" applyBorder="1" applyFont="1"/>
    <xf borderId="10" fillId="0" fontId="17" numFmtId="10" xfId="0" applyAlignment="1" applyBorder="1" applyFont="1" applyNumberFormat="1">
      <alignment horizontal="center" shrinkToFit="1" vertical="top" wrapText="0"/>
    </xf>
    <xf borderId="7" fillId="0" fontId="16" numFmtId="165" xfId="0" applyAlignment="1" applyBorder="1" applyFont="1" applyNumberFormat="1">
      <alignment horizontal="left" readingOrder="0" shrinkToFit="0" vertical="bottom" wrapText="0"/>
    </xf>
    <xf borderId="14" fillId="0" fontId="2" numFmtId="0" xfId="0" applyBorder="1" applyFont="1"/>
    <xf borderId="14" fillId="0" fontId="17" numFmtId="167" xfId="0" applyAlignment="1" applyBorder="1" applyFont="1" applyNumberFormat="1">
      <alignment horizontal="center" shrinkToFit="1" vertical="top" wrapText="0"/>
    </xf>
    <xf borderId="0" fillId="4" fontId="16" numFmtId="9" xfId="0" applyAlignment="1" applyFont="1" applyNumberFormat="1">
      <alignment horizontal="center" shrinkToFit="0" vertical="bottom" wrapText="0"/>
    </xf>
    <xf borderId="40" fillId="0" fontId="16" numFmtId="165" xfId="0" applyAlignment="1" applyBorder="1" applyFont="1" applyNumberFormat="1">
      <alignment horizontal="left" readingOrder="0" shrinkToFit="0" vertical="top" wrapText="0"/>
    </xf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right" vertical="top"/>
    </xf>
    <xf borderId="0" fillId="0" fontId="1" numFmtId="0" xfId="0" applyAlignment="1" applyFont="1">
      <alignment horizontal="center" vertical="top"/>
    </xf>
    <xf borderId="7" fillId="0" fontId="5" numFmtId="0" xfId="0" applyAlignment="1" applyBorder="1" applyFont="1">
      <alignment horizontal="left"/>
    </xf>
    <xf borderId="0" fillId="0" fontId="8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43</xdr:row>
      <xdr:rowOff>57150</xdr:rowOff>
    </xdr:from>
    <xdr:ext cx="1781175" cy="590550"/>
    <xdr:pic>
      <xdr:nvPicPr>
        <xdr:cNvPr descr="C:\Users\PC\Downloads\20200616_124127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94</xdr:row>
      <xdr:rowOff>114300</xdr:rowOff>
    </xdr:from>
    <xdr:ext cx="1781175" cy="590550"/>
    <xdr:pic>
      <xdr:nvPicPr>
        <xdr:cNvPr descr="C:\Users\PC\Downloads\20200616_124127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152</xdr:row>
      <xdr:rowOff>0</xdr:rowOff>
    </xdr:from>
    <xdr:ext cx="1781175" cy="590550"/>
    <xdr:pic>
      <xdr:nvPicPr>
        <xdr:cNvPr descr="C:\Users\PC\Downloads\20200616_124127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208</xdr:row>
      <xdr:rowOff>0</xdr:rowOff>
    </xdr:from>
    <xdr:ext cx="1781175" cy="590550"/>
    <xdr:pic>
      <xdr:nvPicPr>
        <xdr:cNvPr descr="C:\Users\PC\Downloads\20200616_124127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262</xdr:row>
      <xdr:rowOff>161925</xdr:rowOff>
    </xdr:from>
    <xdr:ext cx="1781175" cy="600075"/>
    <xdr:pic>
      <xdr:nvPicPr>
        <xdr:cNvPr descr="C:\Users\PC\Downloads\20200616_124127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8.0"/>
    <col customWidth="1" min="2" max="2" width="36.38"/>
    <col customWidth="1" min="3" max="3" width="6.25"/>
    <col customWidth="1" min="4" max="4" width="7.25"/>
    <col customWidth="1" min="5" max="5" width="10.5"/>
    <col customWidth="1" min="6" max="6" width="12.0"/>
    <col customWidth="1" min="7" max="7" width="9.0"/>
    <col customWidth="1" min="8" max="8" width="6.63"/>
    <col customWidth="1" min="9" max="9" width="7.63"/>
    <col customWidth="1" min="10" max="10" width="10.63"/>
    <col customWidth="1" min="11" max="12" width="8.0"/>
    <col customWidth="1" min="13" max="13" width="16.5"/>
    <col customWidth="1" min="14" max="26" width="8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4"/>
      <c r="K1" s="6"/>
      <c r="L1" s="6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0.25" customHeight="1">
      <c r="A2" s="11" t="s">
        <v>7</v>
      </c>
      <c r="B2" s="12"/>
      <c r="C2" s="13"/>
      <c r="D2" s="13"/>
      <c r="E2" s="16" t="s">
        <v>14</v>
      </c>
      <c r="F2" s="17"/>
      <c r="G2" s="19" t="s">
        <v>16</v>
      </c>
      <c r="H2" s="22">
        <f>J152/F152</f>
        <v>0.06669931397</v>
      </c>
      <c r="I2" s="23"/>
      <c r="J2" s="26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29" t="s">
        <v>25</v>
      </c>
      <c r="B3" s="30"/>
      <c r="C3" s="32"/>
      <c r="D3" s="32"/>
      <c r="E3" s="35" t="s">
        <v>28</v>
      </c>
      <c r="F3" s="37"/>
      <c r="H3" s="38"/>
      <c r="I3" s="23"/>
      <c r="J3" s="26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40" t="s">
        <v>35</v>
      </c>
      <c r="B4" s="41" t="s">
        <v>36</v>
      </c>
      <c r="C4" s="42" t="s">
        <v>18</v>
      </c>
      <c r="D4" s="43" t="s">
        <v>19</v>
      </c>
      <c r="E4" s="43" t="s">
        <v>39</v>
      </c>
      <c r="F4" s="44" t="s">
        <v>40</v>
      </c>
      <c r="G4" s="45" t="s">
        <v>41</v>
      </c>
      <c r="H4" s="47" t="s">
        <v>42</v>
      </c>
      <c r="I4" s="45" t="s">
        <v>43</v>
      </c>
      <c r="J4" s="49" t="s">
        <v>45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1.25" customHeight="1">
      <c r="A5" s="52">
        <v>0.0</v>
      </c>
      <c r="B5" s="55" t="s">
        <v>48</v>
      </c>
      <c r="C5" s="56"/>
      <c r="D5" s="56"/>
      <c r="E5" s="59"/>
      <c r="F5" s="56"/>
      <c r="G5" s="61"/>
      <c r="H5" s="63"/>
      <c r="I5" s="65"/>
      <c r="J5" s="66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1.25" customHeight="1">
      <c r="A6" s="52">
        <v>1.0</v>
      </c>
      <c r="B6" s="55" t="s">
        <v>55</v>
      </c>
      <c r="C6" s="56"/>
      <c r="D6" s="56"/>
      <c r="E6" s="59"/>
      <c r="F6" s="56"/>
      <c r="G6" s="72"/>
      <c r="H6" s="74"/>
      <c r="I6" s="65"/>
      <c r="J6" s="66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1.25" customHeight="1">
      <c r="A7" s="77" t="s">
        <v>61</v>
      </c>
      <c r="B7" s="79" t="s">
        <v>63</v>
      </c>
      <c r="C7" s="80" t="s">
        <v>64</v>
      </c>
      <c r="D7" s="82">
        <v>1.0</v>
      </c>
      <c r="E7" s="83">
        <v>1450000.0</v>
      </c>
      <c r="F7" s="84">
        <f t="shared" ref="F7:F8" si="1">D7*E7</f>
        <v>1450000</v>
      </c>
      <c r="G7" s="85">
        <v>1.0</v>
      </c>
      <c r="H7" s="87" t="s">
        <v>42</v>
      </c>
      <c r="I7" s="89">
        <f t="shared" ref="I7:I8" si="2">G7*100%/D7</f>
        <v>1</v>
      </c>
      <c r="J7" s="90">
        <f t="shared" ref="J7:J8" si="3">F7*I7</f>
        <v>1450000</v>
      </c>
      <c r="K7" s="8"/>
      <c r="L7" s="91"/>
      <c r="M7" s="92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1.25" customHeight="1">
      <c r="A8" s="94" t="s">
        <v>72</v>
      </c>
      <c r="B8" s="95" t="s">
        <v>73</v>
      </c>
      <c r="C8" s="97" t="s">
        <v>75</v>
      </c>
      <c r="D8" s="99">
        <v>60.0</v>
      </c>
      <c r="E8" s="100">
        <v>38500.0</v>
      </c>
      <c r="F8" s="84">
        <f t="shared" si="1"/>
        <v>2310000</v>
      </c>
      <c r="G8" s="85">
        <v>30.0</v>
      </c>
      <c r="H8" s="87" t="s">
        <v>78</v>
      </c>
      <c r="I8" s="89">
        <f t="shared" si="2"/>
        <v>0.5</v>
      </c>
      <c r="J8" s="90">
        <f t="shared" si="3"/>
        <v>1155000</v>
      </c>
      <c r="K8" s="8"/>
      <c r="L8" s="91"/>
      <c r="M8" s="92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3.5" customHeight="1">
      <c r="A9" s="104" t="s">
        <v>79</v>
      </c>
      <c r="B9" s="105" t="s">
        <v>80</v>
      </c>
      <c r="C9" s="106"/>
      <c r="D9" s="106"/>
      <c r="E9" s="107"/>
      <c r="F9" s="106"/>
      <c r="G9" s="108"/>
      <c r="H9" s="110"/>
      <c r="I9" s="111"/>
      <c r="J9" s="112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0" customHeight="1">
      <c r="A10" s="113" t="s">
        <v>85</v>
      </c>
      <c r="B10" s="114" t="s">
        <v>86</v>
      </c>
      <c r="C10" s="115" t="s">
        <v>87</v>
      </c>
      <c r="D10" s="116"/>
      <c r="E10" s="116"/>
      <c r="F10" s="117"/>
      <c r="G10" s="118" t="s">
        <v>87</v>
      </c>
      <c r="H10" s="12"/>
      <c r="I10" s="12"/>
      <c r="J10" s="119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0" customHeight="1">
      <c r="A11" s="113" t="s">
        <v>89</v>
      </c>
      <c r="B11" s="114" t="s">
        <v>90</v>
      </c>
      <c r="C11" s="115" t="s">
        <v>87</v>
      </c>
      <c r="D11" s="116"/>
      <c r="E11" s="116"/>
      <c r="F11" s="117"/>
      <c r="G11" s="118" t="s">
        <v>87</v>
      </c>
      <c r="H11" s="12"/>
      <c r="I11" s="12"/>
      <c r="J11" s="119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0" customHeight="1">
      <c r="A12" s="113" t="s">
        <v>92</v>
      </c>
      <c r="B12" s="114" t="s">
        <v>93</v>
      </c>
      <c r="C12" s="115" t="s">
        <v>87</v>
      </c>
      <c r="D12" s="116"/>
      <c r="E12" s="116"/>
      <c r="F12" s="117"/>
      <c r="G12" s="118" t="s">
        <v>87</v>
      </c>
      <c r="H12" s="12"/>
      <c r="I12" s="12"/>
      <c r="J12" s="119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0" customHeight="1">
      <c r="A13" s="113" t="s">
        <v>97</v>
      </c>
      <c r="B13" s="114" t="s">
        <v>98</v>
      </c>
      <c r="C13" s="115" t="s">
        <v>87</v>
      </c>
      <c r="D13" s="116"/>
      <c r="E13" s="116"/>
      <c r="F13" s="117"/>
      <c r="G13" s="118" t="s">
        <v>87</v>
      </c>
      <c r="H13" s="12"/>
      <c r="I13" s="12"/>
      <c r="J13" s="11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0" customHeight="1">
      <c r="A14" s="126" t="s">
        <v>102</v>
      </c>
      <c r="B14" s="127" t="s">
        <v>105</v>
      </c>
      <c r="C14" s="115" t="s">
        <v>87</v>
      </c>
      <c r="D14" s="116"/>
      <c r="E14" s="116"/>
      <c r="F14" s="117"/>
      <c r="G14" s="118" t="s">
        <v>87</v>
      </c>
      <c r="H14" s="12"/>
      <c r="I14" s="12"/>
      <c r="J14" s="119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1.25" customHeight="1">
      <c r="A15" s="132"/>
      <c r="B15" s="4"/>
      <c r="C15" s="135" t="s">
        <v>110</v>
      </c>
      <c r="D15" s="2"/>
      <c r="E15" s="4"/>
      <c r="F15" s="136"/>
      <c r="G15" s="137"/>
      <c r="H15" s="138"/>
      <c r="I15" s="139"/>
      <c r="J15" s="140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1.25" customHeight="1">
      <c r="A16" s="52">
        <v>2.0</v>
      </c>
      <c r="B16" s="143" t="s">
        <v>113</v>
      </c>
      <c r="C16" s="56"/>
      <c r="D16" s="56"/>
      <c r="E16" s="59"/>
      <c r="F16" s="56"/>
      <c r="G16" s="145"/>
      <c r="H16" s="146"/>
      <c r="I16" s="147"/>
      <c r="J16" s="14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1.25" customHeight="1">
      <c r="A17" s="150" t="s">
        <v>115</v>
      </c>
      <c r="B17" s="151" t="s">
        <v>116</v>
      </c>
      <c r="C17" s="152"/>
      <c r="D17" s="152"/>
      <c r="E17" s="153"/>
      <c r="F17" s="152"/>
      <c r="G17" s="154"/>
      <c r="H17" s="155"/>
      <c r="I17" s="156"/>
      <c r="J17" s="15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1.25" customHeight="1">
      <c r="A18" s="104" t="s">
        <v>117</v>
      </c>
      <c r="B18" s="105" t="s">
        <v>118</v>
      </c>
      <c r="C18" s="160"/>
      <c r="D18" s="160"/>
      <c r="E18" s="161"/>
      <c r="F18" s="160"/>
      <c r="G18" s="108"/>
      <c r="H18" s="110"/>
      <c r="I18" s="111"/>
      <c r="J18" s="112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1.25" customHeight="1">
      <c r="A19" s="163" t="s">
        <v>120</v>
      </c>
      <c r="B19" s="165" t="s">
        <v>122</v>
      </c>
      <c r="C19" s="166" t="s">
        <v>5</v>
      </c>
      <c r="D19" s="99">
        <v>609.01</v>
      </c>
      <c r="E19" s="100">
        <f>+P.U!F28</f>
        <v>7246</v>
      </c>
      <c r="F19" s="84">
        <f t="shared" ref="F19:F28" si="4">ROUND(D19*E19,0)</f>
        <v>4412886</v>
      </c>
      <c r="G19" s="85">
        <v>360.0</v>
      </c>
      <c r="H19" s="87" t="s">
        <v>125</v>
      </c>
      <c r="I19" s="89">
        <f t="shared" ref="I19:I28" si="5">G19*100%/D19</f>
        <v>0.5911232985</v>
      </c>
      <c r="J19" s="90">
        <f t="shared" ref="J19:J28" si="6">I19*F19</f>
        <v>2608559.728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1.25" customHeight="1">
      <c r="A20" s="163" t="s">
        <v>126</v>
      </c>
      <c r="B20" s="165" t="s">
        <v>127</v>
      </c>
      <c r="C20" s="166" t="s">
        <v>5</v>
      </c>
      <c r="D20" s="172">
        <v>1271.71</v>
      </c>
      <c r="E20" s="100">
        <f>+P.U!F75</f>
        <v>24172</v>
      </c>
      <c r="F20" s="84">
        <f t="shared" si="4"/>
        <v>30739774</v>
      </c>
      <c r="G20" s="174"/>
      <c r="H20" s="175"/>
      <c r="I20" s="89">
        <f t="shared" si="5"/>
        <v>0</v>
      </c>
      <c r="J20" s="90">
        <f t="shared" si="6"/>
        <v>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1.25" customHeight="1">
      <c r="A21" s="163" t="s">
        <v>129</v>
      </c>
      <c r="B21" s="165" t="s">
        <v>130</v>
      </c>
      <c r="C21" s="166" t="s">
        <v>5</v>
      </c>
      <c r="D21" s="172">
        <v>1880.72</v>
      </c>
      <c r="E21" s="100">
        <f>P.U!F114</f>
        <v>3885</v>
      </c>
      <c r="F21" s="84">
        <f t="shared" si="4"/>
        <v>7306597</v>
      </c>
      <c r="G21" s="174"/>
      <c r="H21" s="175"/>
      <c r="I21" s="89">
        <f t="shared" si="5"/>
        <v>0</v>
      </c>
      <c r="J21" s="90">
        <f t="shared" si="6"/>
        <v>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1.25" customHeight="1">
      <c r="A22" s="163" t="s">
        <v>131</v>
      </c>
      <c r="B22" s="165" t="s">
        <v>132</v>
      </c>
      <c r="C22" s="166" t="s">
        <v>5</v>
      </c>
      <c r="D22" s="172">
        <v>1880.72</v>
      </c>
      <c r="E22" s="100">
        <f>P.U!F159</f>
        <v>2611</v>
      </c>
      <c r="F22" s="84">
        <f t="shared" si="4"/>
        <v>4910560</v>
      </c>
      <c r="G22" s="174"/>
      <c r="H22" s="175"/>
      <c r="I22" s="89">
        <f t="shared" si="5"/>
        <v>0</v>
      </c>
      <c r="J22" s="90">
        <f t="shared" si="6"/>
        <v>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1.25" customHeight="1">
      <c r="A23" s="163" t="s">
        <v>134</v>
      </c>
      <c r="B23" s="165" t="s">
        <v>135</v>
      </c>
      <c r="C23" s="166" t="s">
        <v>5</v>
      </c>
      <c r="D23" s="172">
        <v>1880.72</v>
      </c>
      <c r="E23" s="100">
        <f>P.U!F203</f>
        <v>8920</v>
      </c>
      <c r="F23" s="84">
        <f t="shared" si="4"/>
        <v>16776022</v>
      </c>
      <c r="G23" s="85">
        <v>360.0</v>
      </c>
      <c r="H23" s="87" t="s">
        <v>125</v>
      </c>
      <c r="I23" s="89">
        <f t="shared" si="5"/>
        <v>0.1914160534</v>
      </c>
      <c r="J23" s="90">
        <f t="shared" si="6"/>
        <v>3211199.923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1.25" customHeight="1">
      <c r="A24" s="163" t="s">
        <v>137</v>
      </c>
      <c r="B24" s="165" t="s">
        <v>138</v>
      </c>
      <c r="C24" s="166" t="s">
        <v>5</v>
      </c>
      <c r="D24" s="172">
        <v>1880.72</v>
      </c>
      <c r="E24" s="100">
        <f>P.U!F248</f>
        <v>18515</v>
      </c>
      <c r="F24" s="84">
        <f t="shared" si="4"/>
        <v>34821531</v>
      </c>
      <c r="G24" s="174"/>
      <c r="H24" s="175"/>
      <c r="I24" s="89">
        <f t="shared" si="5"/>
        <v>0</v>
      </c>
      <c r="J24" s="90">
        <f t="shared" si="6"/>
        <v>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1.25" customHeight="1">
      <c r="A25" s="163" t="s">
        <v>140</v>
      </c>
      <c r="B25" s="165" t="s">
        <v>141</v>
      </c>
      <c r="C25" s="166" t="s">
        <v>142</v>
      </c>
      <c r="D25" s="99">
        <v>244.0</v>
      </c>
      <c r="E25" s="100">
        <f>+P.U!F291</f>
        <v>10463</v>
      </c>
      <c r="F25" s="84">
        <f t="shared" si="4"/>
        <v>2552972</v>
      </c>
      <c r="G25" s="174">
        <f>28+15</f>
        <v>43</v>
      </c>
      <c r="H25" s="175"/>
      <c r="I25" s="89">
        <f t="shared" si="5"/>
        <v>0.1762295082</v>
      </c>
      <c r="J25" s="90">
        <f t="shared" si="6"/>
        <v>449909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1.25" customHeight="1">
      <c r="A26" s="163" t="s">
        <v>148</v>
      </c>
      <c r="B26" s="165" t="s">
        <v>149</v>
      </c>
      <c r="C26" s="166" t="s">
        <v>142</v>
      </c>
      <c r="D26" s="99">
        <v>175.0</v>
      </c>
      <c r="E26" s="100">
        <f>+P.U!F335</f>
        <v>27608</v>
      </c>
      <c r="F26" s="84">
        <f t="shared" si="4"/>
        <v>4831400</v>
      </c>
      <c r="G26" s="85">
        <v>28.0</v>
      </c>
      <c r="H26" s="175"/>
      <c r="I26" s="89">
        <f t="shared" si="5"/>
        <v>0.16</v>
      </c>
      <c r="J26" s="90">
        <f t="shared" si="6"/>
        <v>773024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1.25" customHeight="1">
      <c r="A27" s="163" t="s">
        <v>150</v>
      </c>
      <c r="B27" s="165" t="s">
        <v>151</v>
      </c>
      <c r="C27" s="166" t="s">
        <v>142</v>
      </c>
      <c r="D27" s="99">
        <v>102.2</v>
      </c>
      <c r="E27" s="100">
        <f>+P.U!F379</f>
        <v>6368</v>
      </c>
      <c r="F27" s="84">
        <f t="shared" si="4"/>
        <v>650810</v>
      </c>
      <c r="G27" s="174">
        <f>28+28+8+8</f>
        <v>72</v>
      </c>
      <c r="H27" s="175"/>
      <c r="I27" s="89">
        <f t="shared" si="5"/>
        <v>0.7045009785</v>
      </c>
      <c r="J27" s="90">
        <f t="shared" si="6"/>
        <v>458496.2818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1.25" customHeight="1">
      <c r="A28" s="163" t="s">
        <v>155</v>
      </c>
      <c r="B28" s="165" t="s">
        <v>156</v>
      </c>
      <c r="C28" s="166" t="s">
        <v>5</v>
      </c>
      <c r="D28" s="99">
        <v>230.0</v>
      </c>
      <c r="E28" s="100">
        <f>+P.U!F425</f>
        <v>17037</v>
      </c>
      <c r="F28" s="84">
        <f t="shared" si="4"/>
        <v>3918510</v>
      </c>
      <c r="G28" s="174"/>
      <c r="H28" s="175"/>
      <c r="I28" s="89">
        <f t="shared" si="5"/>
        <v>0</v>
      </c>
      <c r="J28" s="90">
        <f t="shared" si="6"/>
        <v>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1.25" customHeight="1">
      <c r="A29" s="104" t="s">
        <v>157</v>
      </c>
      <c r="B29" s="105" t="s">
        <v>158</v>
      </c>
      <c r="C29" s="160"/>
      <c r="D29" s="160"/>
      <c r="E29" s="161"/>
      <c r="F29" s="160"/>
      <c r="G29" s="108"/>
      <c r="H29" s="110"/>
      <c r="I29" s="110"/>
      <c r="J29" s="182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1.25" customHeight="1">
      <c r="A30" s="163" t="s">
        <v>159</v>
      </c>
      <c r="B30" s="165" t="s">
        <v>160</v>
      </c>
      <c r="C30" s="166" t="s">
        <v>5</v>
      </c>
      <c r="D30" s="172">
        <v>1376.95</v>
      </c>
      <c r="E30" s="100">
        <f>+P.U!F469</f>
        <v>3995</v>
      </c>
      <c r="F30" s="84">
        <f t="shared" ref="F30:F37" si="7">ROUND(D30*E30,0)</f>
        <v>5500915</v>
      </c>
      <c r="G30" s="85">
        <f>(36.3*7)+17.5+55.3</f>
        <v>326.9</v>
      </c>
      <c r="H30" s="87" t="s">
        <v>125</v>
      </c>
      <c r="I30" s="89">
        <f t="shared" ref="I30:I37" si="8">G30*100%/D30</f>
        <v>0.2374087658</v>
      </c>
      <c r="J30" s="90">
        <f t="shared" ref="J30:J37" si="9">I30*F30</f>
        <v>1305965.441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1.25" customHeight="1">
      <c r="A31" s="163" t="s">
        <v>161</v>
      </c>
      <c r="B31" s="165" t="s">
        <v>162</v>
      </c>
      <c r="C31" s="166" t="s">
        <v>5</v>
      </c>
      <c r="D31" s="99">
        <v>162.96</v>
      </c>
      <c r="E31" s="100">
        <f>+P.U!F513</f>
        <v>25485</v>
      </c>
      <c r="F31" s="84">
        <f t="shared" si="7"/>
        <v>4153036</v>
      </c>
      <c r="G31" s="174"/>
      <c r="H31" s="175"/>
      <c r="I31" s="89">
        <f t="shared" si="8"/>
        <v>0</v>
      </c>
      <c r="J31" s="90">
        <f t="shared" si="9"/>
        <v>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1.25" customHeight="1">
      <c r="A32" s="163" t="s">
        <v>165</v>
      </c>
      <c r="B32" s="165" t="s">
        <v>166</v>
      </c>
      <c r="C32" s="166" t="s">
        <v>5</v>
      </c>
      <c r="D32" s="172">
        <v>1047.99</v>
      </c>
      <c r="E32" s="100">
        <f>+P.U!F557</f>
        <v>37262</v>
      </c>
      <c r="F32" s="84">
        <f t="shared" si="7"/>
        <v>39050203</v>
      </c>
      <c r="G32" s="85">
        <f>(36.3*3)+17.5</f>
        <v>126.4</v>
      </c>
      <c r="H32" s="87" t="s">
        <v>125</v>
      </c>
      <c r="I32" s="89">
        <f t="shared" si="8"/>
        <v>0.1206118379</v>
      </c>
      <c r="J32" s="90">
        <f t="shared" si="9"/>
        <v>4709916.754</v>
      </c>
      <c r="K32" s="8"/>
      <c r="L32" s="8"/>
      <c r="M32" s="91"/>
      <c r="N32" s="91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1.25" customHeight="1">
      <c r="A33" s="163" t="s">
        <v>169</v>
      </c>
      <c r="B33" s="165" t="s">
        <v>170</v>
      </c>
      <c r="C33" s="166" t="s">
        <v>142</v>
      </c>
      <c r="D33" s="99">
        <v>798.3</v>
      </c>
      <c r="E33" s="100">
        <f>+P.U!F601</f>
        <v>6867</v>
      </c>
      <c r="F33" s="84">
        <f t="shared" si="7"/>
        <v>5481926</v>
      </c>
      <c r="G33" s="85">
        <f>24.5+24.5+24.5+12</f>
        <v>85.5</v>
      </c>
      <c r="H33" s="87" t="s">
        <v>171</v>
      </c>
      <c r="I33" s="89">
        <f t="shared" si="8"/>
        <v>0.107102593</v>
      </c>
      <c r="J33" s="90">
        <f t="shared" si="9"/>
        <v>587128.4893</v>
      </c>
      <c r="K33" s="8"/>
      <c r="L33" s="8"/>
      <c r="M33" s="8"/>
      <c r="N33" s="91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1.25" customHeight="1">
      <c r="A34" s="163" t="s">
        <v>172</v>
      </c>
      <c r="B34" s="165" t="s">
        <v>173</v>
      </c>
      <c r="C34" s="166" t="s">
        <v>142</v>
      </c>
      <c r="D34" s="99">
        <v>166.0</v>
      </c>
      <c r="E34" s="100">
        <f>+P.U!F645</f>
        <v>53974</v>
      </c>
      <c r="F34" s="84">
        <f t="shared" si="7"/>
        <v>8959684</v>
      </c>
      <c r="G34" s="174"/>
      <c r="H34" s="175"/>
      <c r="I34" s="89">
        <f t="shared" si="8"/>
        <v>0</v>
      </c>
      <c r="J34" s="90">
        <f t="shared" si="9"/>
        <v>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1.25" customHeight="1">
      <c r="A35" s="163" t="s">
        <v>174</v>
      </c>
      <c r="B35" s="165" t="s">
        <v>175</v>
      </c>
      <c r="C35" s="166" t="s">
        <v>30</v>
      </c>
      <c r="D35" s="99">
        <v>5.0</v>
      </c>
      <c r="E35" s="100">
        <f>+P.U!F689</f>
        <v>7125</v>
      </c>
      <c r="F35" s="84">
        <f t="shared" si="7"/>
        <v>35625</v>
      </c>
      <c r="G35" s="174"/>
      <c r="H35" s="175"/>
      <c r="I35" s="89">
        <f t="shared" si="8"/>
        <v>0</v>
      </c>
      <c r="J35" s="90">
        <f t="shared" si="9"/>
        <v>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1.25" customHeight="1">
      <c r="A36" s="163" t="s">
        <v>176</v>
      </c>
      <c r="B36" s="165" t="s">
        <v>177</v>
      </c>
      <c r="C36" s="166" t="s">
        <v>5</v>
      </c>
      <c r="D36" s="99">
        <v>419.0</v>
      </c>
      <c r="E36" s="100">
        <f>+P.U!F733</f>
        <v>20825</v>
      </c>
      <c r="F36" s="84">
        <f t="shared" si="7"/>
        <v>8725675</v>
      </c>
      <c r="G36" s="174"/>
      <c r="H36" s="175"/>
      <c r="I36" s="89">
        <f t="shared" si="8"/>
        <v>0</v>
      </c>
      <c r="J36" s="90">
        <f t="shared" si="9"/>
        <v>0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1.25" customHeight="1">
      <c r="A37" s="163" t="s">
        <v>178</v>
      </c>
      <c r="B37" s="165" t="s">
        <v>179</v>
      </c>
      <c r="C37" s="166" t="s">
        <v>5</v>
      </c>
      <c r="D37" s="99">
        <v>138.8</v>
      </c>
      <c r="E37" s="100">
        <f>+P.U!F777</f>
        <v>70625</v>
      </c>
      <c r="F37" s="84">
        <f t="shared" si="7"/>
        <v>9802750</v>
      </c>
      <c r="G37" s="174"/>
      <c r="H37" s="175"/>
      <c r="I37" s="89">
        <f t="shared" si="8"/>
        <v>0</v>
      </c>
      <c r="J37" s="90">
        <f t="shared" si="9"/>
        <v>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1.25" customHeight="1">
      <c r="A38" s="194" t="s">
        <v>180</v>
      </c>
      <c r="B38" s="195" t="s">
        <v>181</v>
      </c>
      <c r="C38" s="197"/>
      <c r="D38" s="197"/>
      <c r="E38" s="198"/>
      <c r="F38" s="197"/>
      <c r="G38" s="154"/>
      <c r="H38" s="155"/>
      <c r="I38" s="155"/>
      <c r="J38" s="199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1.25" customHeight="1">
      <c r="A39" s="163" t="s">
        <v>182</v>
      </c>
      <c r="B39" s="165" t="s">
        <v>183</v>
      </c>
      <c r="C39" s="166" t="s">
        <v>5</v>
      </c>
      <c r="D39" s="99">
        <v>377.56</v>
      </c>
      <c r="E39" s="100">
        <f>+P.U!F821</f>
        <v>20560</v>
      </c>
      <c r="F39" s="84">
        <f t="shared" ref="F39:F44" si="10">ROUND(D39*E39,0)</f>
        <v>7762634</v>
      </c>
      <c r="G39" s="174"/>
      <c r="H39" s="175"/>
      <c r="I39" s="89">
        <f t="shared" ref="I39:I44" si="11">G39*100%/D39</f>
        <v>0</v>
      </c>
      <c r="J39" s="90">
        <f t="shared" ref="J39:J44" si="12">I39*F39</f>
        <v>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1.25" customHeight="1">
      <c r="A40" s="163" t="s">
        <v>185</v>
      </c>
      <c r="B40" s="165" t="s">
        <v>186</v>
      </c>
      <c r="C40" s="166" t="s">
        <v>5</v>
      </c>
      <c r="D40" s="172">
        <v>2312.09</v>
      </c>
      <c r="E40" s="100">
        <f>+P.U!F865</f>
        <v>9445</v>
      </c>
      <c r="F40" s="84">
        <f t="shared" si="10"/>
        <v>21837690</v>
      </c>
      <c r="G40" s="85">
        <f>30*3</f>
        <v>90</v>
      </c>
      <c r="H40" s="87" t="s">
        <v>125</v>
      </c>
      <c r="I40" s="89">
        <f t="shared" si="11"/>
        <v>0.03892582036</v>
      </c>
      <c r="J40" s="90">
        <f t="shared" si="12"/>
        <v>850049.9981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1.25" customHeight="1">
      <c r="A41" s="163" t="s">
        <v>189</v>
      </c>
      <c r="B41" s="165" t="s">
        <v>190</v>
      </c>
      <c r="C41" s="166" t="s">
        <v>30</v>
      </c>
      <c r="D41" s="99">
        <v>15.0</v>
      </c>
      <c r="E41" s="100">
        <f>+P.U!F909</f>
        <v>7350</v>
      </c>
      <c r="F41" s="84">
        <f t="shared" si="10"/>
        <v>110250</v>
      </c>
      <c r="G41" s="174"/>
      <c r="H41" s="175"/>
      <c r="I41" s="89">
        <f t="shared" si="11"/>
        <v>0</v>
      </c>
      <c r="J41" s="90">
        <f t="shared" si="12"/>
        <v>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1.25" customHeight="1">
      <c r="A42" s="163" t="s">
        <v>192</v>
      </c>
      <c r="B42" s="165" t="s">
        <v>193</v>
      </c>
      <c r="C42" s="166" t="s">
        <v>5</v>
      </c>
      <c r="D42" s="99">
        <v>975.38</v>
      </c>
      <c r="E42" s="100">
        <f>+P.U!F953</f>
        <v>18213</v>
      </c>
      <c r="F42" s="84">
        <f t="shared" si="10"/>
        <v>17764596</v>
      </c>
      <c r="G42" s="174"/>
      <c r="H42" s="175"/>
      <c r="I42" s="89">
        <f t="shared" si="11"/>
        <v>0</v>
      </c>
      <c r="J42" s="90">
        <f t="shared" si="12"/>
        <v>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1.25" customHeight="1">
      <c r="A43" s="163" t="s">
        <v>194</v>
      </c>
      <c r="B43" s="165" t="s">
        <v>195</v>
      </c>
      <c r="C43" s="166" t="s">
        <v>5</v>
      </c>
      <c r="D43" s="99">
        <v>629.1</v>
      </c>
      <c r="E43" s="100">
        <f>+P.U!F997</f>
        <v>17926</v>
      </c>
      <c r="F43" s="84">
        <f t="shared" si="10"/>
        <v>11277247</v>
      </c>
      <c r="G43" s="174"/>
      <c r="H43" s="175"/>
      <c r="I43" s="89">
        <f t="shared" si="11"/>
        <v>0</v>
      </c>
      <c r="J43" s="90">
        <f t="shared" si="12"/>
        <v>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1.25" customHeight="1">
      <c r="A44" s="163" t="s">
        <v>196</v>
      </c>
      <c r="B44" s="165" t="s">
        <v>197</v>
      </c>
      <c r="C44" s="166" t="s">
        <v>5</v>
      </c>
      <c r="D44" s="99">
        <v>629.1</v>
      </c>
      <c r="E44" s="100">
        <f>+P.U!F1041</f>
        <v>13208</v>
      </c>
      <c r="F44" s="84">
        <f t="shared" si="10"/>
        <v>8309153</v>
      </c>
      <c r="G44" s="174"/>
      <c r="H44" s="175"/>
      <c r="I44" s="89">
        <f t="shared" si="11"/>
        <v>0</v>
      </c>
      <c r="J44" s="90">
        <f t="shared" si="12"/>
        <v>0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1.25" customHeight="1">
      <c r="A45" s="194" t="s">
        <v>199</v>
      </c>
      <c r="B45" s="195" t="s">
        <v>200</v>
      </c>
      <c r="C45" s="197"/>
      <c r="D45" s="197"/>
      <c r="E45" s="198"/>
      <c r="F45" s="197"/>
      <c r="G45" s="154"/>
      <c r="H45" s="155"/>
      <c r="I45" s="155"/>
      <c r="J45" s="199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1.25" customHeight="1">
      <c r="A46" s="163" t="s">
        <v>201</v>
      </c>
      <c r="B46" s="165" t="s">
        <v>202</v>
      </c>
      <c r="C46" s="166" t="s">
        <v>5</v>
      </c>
      <c r="D46" s="172">
        <v>1076.74</v>
      </c>
      <c r="E46" s="100">
        <f>+P.U!F1089</f>
        <v>19992</v>
      </c>
      <c r="F46" s="84">
        <f t="shared" ref="F46:F48" si="13">ROUND(D46*E46,0)</f>
        <v>21526186</v>
      </c>
      <c r="G46" s="85">
        <f>(36.3+36.3+36.3+55.5)/2</f>
        <v>82.2</v>
      </c>
      <c r="H46" s="87" t="s">
        <v>125</v>
      </c>
      <c r="I46" s="89">
        <f t="shared" ref="I46:I48" si="14">G46*100%/D46</f>
        <v>0.07634154949</v>
      </c>
      <c r="J46" s="90">
        <f t="shared" ref="J46:J48" si="15">I46*F46</f>
        <v>1643342.394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1.25" customHeight="1">
      <c r="A47" s="163" t="s">
        <v>203</v>
      </c>
      <c r="B47" s="165" t="s">
        <v>204</v>
      </c>
      <c r="C47" s="166" t="s">
        <v>5</v>
      </c>
      <c r="D47" s="99">
        <v>508.38</v>
      </c>
      <c r="E47" s="100">
        <f>+P.U!F1129</f>
        <v>10666</v>
      </c>
      <c r="F47" s="84">
        <f t="shared" si="13"/>
        <v>5422381</v>
      </c>
      <c r="G47" s="174"/>
      <c r="H47" s="175"/>
      <c r="I47" s="89">
        <f t="shared" si="14"/>
        <v>0</v>
      </c>
      <c r="J47" s="90">
        <f t="shared" si="15"/>
        <v>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1.25" customHeight="1">
      <c r="A48" s="163" t="s">
        <v>206</v>
      </c>
      <c r="B48" s="165" t="s">
        <v>207</v>
      </c>
      <c r="C48" s="166" t="s">
        <v>5</v>
      </c>
      <c r="D48" s="99">
        <v>553.18</v>
      </c>
      <c r="E48" s="100">
        <f>+P.U!F1174</f>
        <v>25321</v>
      </c>
      <c r="F48" s="84">
        <f t="shared" si="13"/>
        <v>14007071</v>
      </c>
      <c r="G48" s="174"/>
      <c r="H48" s="175"/>
      <c r="I48" s="89">
        <f t="shared" si="14"/>
        <v>0</v>
      </c>
      <c r="J48" s="90">
        <f t="shared" si="15"/>
        <v>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1.25" customHeight="1">
      <c r="A49" s="194" t="s">
        <v>209</v>
      </c>
      <c r="B49" s="195" t="s">
        <v>210</v>
      </c>
      <c r="C49" s="197"/>
      <c r="D49" s="197"/>
      <c r="E49" s="198"/>
      <c r="F49" s="197"/>
      <c r="G49" s="154"/>
      <c r="H49" s="155"/>
      <c r="I49" s="155"/>
      <c r="J49" s="199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1.25" customHeight="1">
      <c r="A50" s="163" t="s">
        <v>213</v>
      </c>
      <c r="B50" s="165" t="s">
        <v>214</v>
      </c>
      <c r="C50" s="166" t="s">
        <v>5</v>
      </c>
      <c r="D50" s="99">
        <v>287.3</v>
      </c>
      <c r="E50" s="100">
        <f>+P.U!F1217</f>
        <v>4675</v>
      </c>
      <c r="F50" s="84">
        <f t="shared" ref="F50:F73" si="16">ROUND(D50*E50,0)</f>
        <v>1343128</v>
      </c>
      <c r="G50" s="85">
        <v>63.36</v>
      </c>
      <c r="H50" s="87" t="s">
        <v>125</v>
      </c>
      <c r="I50" s="89">
        <f t="shared" ref="I50:I73" si="17">G50*100%/D50</f>
        <v>0.2205360251</v>
      </c>
      <c r="J50" s="90">
        <f t="shared" ref="J50:J73" si="18">I50*F50</f>
        <v>296208.1103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1.25" customHeight="1">
      <c r="A51" s="163" t="s">
        <v>218</v>
      </c>
      <c r="B51" s="165" t="s">
        <v>219</v>
      </c>
      <c r="C51" s="166" t="s">
        <v>142</v>
      </c>
      <c r="D51" s="99">
        <v>907.0</v>
      </c>
      <c r="E51" s="100">
        <f>+P.U!F1261</f>
        <v>8743</v>
      </c>
      <c r="F51" s="84">
        <f t="shared" si="16"/>
        <v>7929901</v>
      </c>
      <c r="G51" s="174"/>
      <c r="H51" s="175"/>
      <c r="I51" s="89">
        <f t="shared" si="17"/>
        <v>0</v>
      </c>
      <c r="J51" s="90">
        <f t="shared" si="18"/>
        <v>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1.25" customHeight="1">
      <c r="A52" s="163" t="s">
        <v>220</v>
      </c>
      <c r="B52" s="165" t="s">
        <v>221</v>
      </c>
      <c r="C52" s="166" t="s">
        <v>30</v>
      </c>
      <c r="D52" s="99">
        <v>4.0</v>
      </c>
      <c r="E52" s="100">
        <v>635500.0</v>
      </c>
      <c r="F52" s="84">
        <f t="shared" si="16"/>
        <v>2542000</v>
      </c>
      <c r="G52" s="174"/>
      <c r="H52" s="175"/>
      <c r="I52" s="89">
        <f t="shared" si="17"/>
        <v>0</v>
      </c>
      <c r="J52" s="90">
        <f t="shared" si="18"/>
        <v>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1.25" customHeight="1">
      <c r="A53" s="163" t="s">
        <v>222</v>
      </c>
      <c r="B53" s="165" t="s">
        <v>223</v>
      </c>
      <c r="C53" s="166" t="s">
        <v>30</v>
      </c>
      <c r="D53" s="99">
        <v>1.0</v>
      </c>
      <c r="E53" s="100">
        <v>582400.0</v>
      </c>
      <c r="F53" s="84">
        <f t="shared" si="16"/>
        <v>582400</v>
      </c>
      <c r="G53" s="174"/>
      <c r="H53" s="175"/>
      <c r="I53" s="89">
        <f t="shared" si="17"/>
        <v>0</v>
      </c>
      <c r="J53" s="90">
        <f t="shared" si="18"/>
        <v>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1.25" customHeight="1">
      <c r="A54" s="163" t="s">
        <v>225</v>
      </c>
      <c r="B54" s="165" t="s">
        <v>226</v>
      </c>
      <c r="C54" s="166" t="s">
        <v>30</v>
      </c>
      <c r="D54" s="99">
        <v>1.0</v>
      </c>
      <c r="E54" s="100">
        <v>945000.0</v>
      </c>
      <c r="F54" s="84">
        <f t="shared" si="16"/>
        <v>945000</v>
      </c>
      <c r="G54" s="174"/>
      <c r="H54" s="175"/>
      <c r="I54" s="89">
        <f t="shared" si="17"/>
        <v>0</v>
      </c>
      <c r="J54" s="90">
        <f t="shared" si="18"/>
        <v>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1.25" customHeight="1">
      <c r="A55" s="163" t="s">
        <v>227</v>
      </c>
      <c r="B55" s="165" t="s">
        <v>228</v>
      </c>
      <c r="C55" s="166" t="s">
        <v>30</v>
      </c>
      <c r="D55" s="99">
        <v>2.0</v>
      </c>
      <c r="E55" s="100">
        <v>207500.0</v>
      </c>
      <c r="F55" s="84">
        <f t="shared" si="16"/>
        <v>415000</v>
      </c>
      <c r="G55" s="174"/>
      <c r="H55" s="175"/>
      <c r="I55" s="89">
        <f t="shared" si="17"/>
        <v>0</v>
      </c>
      <c r="J55" s="90">
        <f t="shared" si="18"/>
        <v>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1.25" customHeight="1">
      <c r="A56" s="163" t="s">
        <v>229</v>
      </c>
      <c r="B56" s="165" t="s">
        <v>230</v>
      </c>
      <c r="C56" s="166" t="s">
        <v>30</v>
      </c>
      <c r="D56" s="99">
        <v>2.0</v>
      </c>
      <c r="E56" s="100">
        <v>315500.0</v>
      </c>
      <c r="F56" s="84">
        <f t="shared" si="16"/>
        <v>631000</v>
      </c>
      <c r="G56" s="174"/>
      <c r="H56" s="175"/>
      <c r="I56" s="89">
        <f t="shared" si="17"/>
        <v>0</v>
      </c>
      <c r="J56" s="90">
        <f t="shared" si="18"/>
        <v>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1.25" customHeight="1">
      <c r="A57" s="163" t="s">
        <v>231</v>
      </c>
      <c r="B57" s="165" t="s">
        <v>232</v>
      </c>
      <c r="C57" s="166" t="s">
        <v>30</v>
      </c>
      <c r="D57" s="99">
        <v>3.0</v>
      </c>
      <c r="E57" s="100">
        <v>150000.0</v>
      </c>
      <c r="F57" s="84">
        <f t="shared" si="16"/>
        <v>450000</v>
      </c>
      <c r="G57" s="174"/>
      <c r="H57" s="175"/>
      <c r="I57" s="89">
        <f t="shared" si="17"/>
        <v>0</v>
      </c>
      <c r="J57" s="90">
        <f t="shared" si="18"/>
        <v>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1.25" customHeight="1">
      <c r="A58" s="163" t="s">
        <v>233</v>
      </c>
      <c r="B58" s="165" t="s">
        <v>234</v>
      </c>
      <c r="C58" s="166" t="s">
        <v>30</v>
      </c>
      <c r="D58" s="99">
        <v>16.0</v>
      </c>
      <c r="E58" s="100">
        <v>198500.0</v>
      </c>
      <c r="F58" s="84">
        <f t="shared" si="16"/>
        <v>3176000</v>
      </c>
      <c r="G58" s="174"/>
      <c r="H58" s="175"/>
      <c r="I58" s="89">
        <f t="shared" si="17"/>
        <v>0</v>
      </c>
      <c r="J58" s="90">
        <f t="shared" si="18"/>
        <v>0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1.25" customHeight="1">
      <c r="A59" s="214">
        <v>40215.0</v>
      </c>
      <c r="B59" s="165" t="s">
        <v>235</v>
      </c>
      <c r="C59" s="166" t="s">
        <v>30</v>
      </c>
      <c r="D59" s="99">
        <v>14.0</v>
      </c>
      <c r="E59" s="100">
        <v>485000.0</v>
      </c>
      <c r="F59" s="84">
        <f t="shared" si="16"/>
        <v>6790000</v>
      </c>
      <c r="G59" s="174"/>
      <c r="H59" s="175"/>
      <c r="I59" s="89">
        <f t="shared" si="17"/>
        <v>0</v>
      </c>
      <c r="J59" s="90">
        <f t="shared" si="18"/>
        <v>0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1.25" customHeight="1">
      <c r="A60" s="214">
        <v>40580.0</v>
      </c>
      <c r="B60" s="165" t="s">
        <v>236</v>
      </c>
      <c r="C60" s="166" t="s">
        <v>30</v>
      </c>
      <c r="D60" s="99">
        <v>12.0</v>
      </c>
      <c r="E60" s="100">
        <v>985000.0</v>
      </c>
      <c r="F60" s="84">
        <f t="shared" si="16"/>
        <v>11820000</v>
      </c>
      <c r="G60" s="174"/>
      <c r="H60" s="175"/>
      <c r="I60" s="89">
        <f t="shared" si="17"/>
        <v>0</v>
      </c>
      <c r="J60" s="90">
        <f t="shared" si="18"/>
        <v>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1.25" customHeight="1">
      <c r="A61" s="214">
        <v>40945.0</v>
      </c>
      <c r="B61" s="165" t="s">
        <v>238</v>
      </c>
      <c r="C61" s="166" t="s">
        <v>30</v>
      </c>
      <c r="D61" s="99">
        <v>12.0</v>
      </c>
      <c r="E61" s="100">
        <v>1250000.0</v>
      </c>
      <c r="F61" s="84">
        <f t="shared" si="16"/>
        <v>15000000</v>
      </c>
      <c r="G61" s="174"/>
      <c r="H61" s="175"/>
      <c r="I61" s="89">
        <f t="shared" si="17"/>
        <v>0</v>
      </c>
      <c r="J61" s="90">
        <f t="shared" si="18"/>
        <v>0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1.25" customHeight="1">
      <c r="A62" s="214">
        <v>41311.0</v>
      </c>
      <c r="B62" s="165" t="s">
        <v>240</v>
      </c>
      <c r="C62" s="166" t="s">
        <v>30</v>
      </c>
      <c r="D62" s="99">
        <v>3.0</v>
      </c>
      <c r="E62" s="100">
        <v>165000.0</v>
      </c>
      <c r="F62" s="84">
        <f t="shared" si="16"/>
        <v>495000</v>
      </c>
      <c r="G62" s="174"/>
      <c r="H62" s="175"/>
      <c r="I62" s="89">
        <f t="shared" si="17"/>
        <v>0</v>
      </c>
      <c r="J62" s="90">
        <f t="shared" si="18"/>
        <v>0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1.25" customHeight="1">
      <c r="A63" s="214">
        <v>41676.0</v>
      </c>
      <c r="B63" s="165" t="s">
        <v>243</v>
      </c>
      <c r="C63" s="166" t="s">
        <v>30</v>
      </c>
      <c r="D63" s="99">
        <v>4.0</v>
      </c>
      <c r="E63" s="100">
        <v>185500.0</v>
      </c>
      <c r="F63" s="84">
        <f t="shared" si="16"/>
        <v>742000</v>
      </c>
      <c r="G63" s="174"/>
      <c r="H63" s="175"/>
      <c r="I63" s="89">
        <f t="shared" si="17"/>
        <v>0</v>
      </c>
      <c r="J63" s="90">
        <f t="shared" si="18"/>
        <v>0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1.25" customHeight="1">
      <c r="A64" s="214">
        <v>42041.0</v>
      </c>
      <c r="B64" s="165" t="s">
        <v>244</v>
      </c>
      <c r="C64" s="166" t="s">
        <v>30</v>
      </c>
      <c r="D64" s="99">
        <v>4.0</v>
      </c>
      <c r="E64" s="100">
        <v>225000.0</v>
      </c>
      <c r="F64" s="84">
        <f t="shared" si="16"/>
        <v>900000</v>
      </c>
      <c r="G64" s="174"/>
      <c r="H64" s="175"/>
      <c r="I64" s="89">
        <f t="shared" si="17"/>
        <v>0</v>
      </c>
      <c r="J64" s="90">
        <f t="shared" si="18"/>
        <v>0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1.25" customHeight="1">
      <c r="A65" s="214">
        <v>42406.0</v>
      </c>
      <c r="B65" s="165" t="s">
        <v>246</v>
      </c>
      <c r="C65" s="166" t="s">
        <v>30</v>
      </c>
      <c r="D65" s="99">
        <v>24.0</v>
      </c>
      <c r="E65" s="100">
        <v>235000.0</v>
      </c>
      <c r="F65" s="84">
        <f t="shared" si="16"/>
        <v>5640000</v>
      </c>
      <c r="G65" s="85">
        <v>24.0</v>
      </c>
      <c r="H65" s="87" t="s">
        <v>42</v>
      </c>
      <c r="I65" s="89">
        <f t="shared" si="17"/>
        <v>1</v>
      </c>
      <c r="J65" s="90">
        <f t="shared" si="18"/>
        <v>5640000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1.25" customHeight="1">
      <c r="A66" s="214">
        <v>42772.0</v>
      </c>
      <c r="B66" s="165" t="s">
        <v>247</v>
      </c>
      <c r="C66" s="166" t="s">
        <v>30</v>
      </c>
      <c r="D66" s="99">
        <v>15.0</v>
      </c>
      <c r="E66" s="100">
        <v>524000.0</v>
      </c>
      <c r="F66" s="84">
        <f t="shared" si="16"/>
        <v>7860000</v>
      </c>
      <c r="G66" s="85">
        <v>15.0</v>
      </c>
      <c r="H66" s="87" t="s">
        <v>42</v>
      </c>
      <c r="I66" s="89">
        <f t="shared" si="17"/>
        <v>1</v>
      </c>
      <c r="J66" s="90">
        <f t="shared" si="18"/>
        <v>7860000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1.25" customHeight="1">
      <c r="A67" s="214">
        <v>43137.0</v>
      </c>
      <c r="B67" s="165" t="s">
        <v>248</v>
      </c>
      <c r="C67" s="166" t="s">
        <v>30</v>
      </c>
      <c r="D67" s="99">
        <v>2.0</v>
      </c>
      <c r="E67" s="100">
        <v>1785000.0</v>
      </c>
      <c r="F67" s="84">
        <f t="shared" si="16"/>
        <v>3570000</v>
      </c>
      <c r="G67" s="174"/>
      <c r="H67" s="175"/>
      <c r="I67" s="89">
        <f t="shared" si="17"/>
        <v>0</v>
      </c>
      <c r="J67" s="90">
        <f t="shared" si="18"/>
        <v>0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1.25" customHeight="1">
      <c r="A68" s="214">
        <v>43502.0</v>
      </c>
      <c r="B68" s="165" t="s">
        <v>250</v>
      </c>
      <c r="C68" s="166" t="s">
        <v>30</v>
      </c>
      <c r="D68" s="99">
        <v>1.0</v>
      </c>
      <c r="E68" s="100">
        <v>145500.0</v>
      </c>
      <c r="F68" s="84">
        <f t="shared" si="16"/>
        <v>145500</v>
      </c>
      <c r="G68" s="174"/>
      <c r="H68" s="175"/>
      <c r="I68" s="89">
        <f t="shared" si="17"/>
        <v>0</v>
      </c>
      <c r="J68" s="90">
        <f t="shared" si="18"/>
        <v>0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1.25" customHeight="1">
      <c r="A69" s="214">
        <v>43867.0</v>
      </c>
      <c r="B69" s="165" t="s">
        <v>251</v>
      </c>
      <c r="C69" s="166" t="s">
        <v>30</v>
      </c>
      <c r="D69" s="99">
        <v>6.0</v>
      </c>
      <c r="E69" s="100">
        <v>240000.0</v>
      </c>
      <c r="F69" s="84">
        <f t="shared" si="16"/>
        <v>1440000</v>
      </c>
      <c r="G69" s="174"/>
      <c r="H69" s="175"/>
      <c r="I69" s="89">
        <f t="shared" si="17"/>
        <v>0</v>
      </c>
      <c r="J69" s="90">
        <f t="shared" si="18"/>
        <v>0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1.25" customHeight="1">
      <c r="A70" s="214">
        <v>44233.0</v>
      </c>
      <c r="B70" s="165" t="s">
        <v>252</v>
      </c>
      <c r="C70" s="166" t="s">
        <v>30</v>
      </c>
      <c r="D70" s="99">
        <v>1.0</v>
      </c>
      <c r="E70" s="100">
        <v>165000.0</v>
      </c>
      <c r="F70" s="84">
        <f t="shared" si="16"/>
        <v>165000</v>
      </c>
      <c r="G70" s="174"/>
      <c r="H70" s="175"/>
      <c r="I70" s="89">
        <f t="shared" si="17"/>
        <v>0</v>
      </c>
      <c r="J70" s="90">
        <f t="shared" si="18"/>
        <v>0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1.25" customHeight="1">
      <c r="A71" s="214">
        <v>44598.0</v>
      </c>
      <c r="B71" s="165" t="s">
        <v>253</v>
      </c>
      <c r="C71" s="166" t="s">
        <v>30</v>
      </c>
      <c r="D71" s="99">
        <v>1.0</v>
      </c>
      <c r="E71" s="100">
        <v>325500.0</v>
      </c>
      <c r="F71" s="84">
        <f t="shared" si="16"/>
        <v>325500</v>
      </c>
      <c r="G71" s="174"/>
      <c r="H71" s="175"/>
      <c r="I71" s="89">
        <f t="shared" si="17"/>
        <v>0</v>
      </c>
      <c r="J71" s="90">
        <f t="shared" si="18"/>
        <v>0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1.25" customHeight="1">
      <c r="A72" s="214">
        <v>44963.0</v>
      </c>
      <c r="B72" s="165" t="s">
        <v>255</v>
      </c>
      <c r="C72" s="166" t="s">
        <v>5</v>
      </c>
      <c r="D72" s="99">
        <v>25.0</v>
      </c>
      <c r="E72" s="100">
        <f>+P.U!F2187</f>
        <v>42536</v>
      </c>
      <c r="F72" s="84">
        <f t="shared" si="16"/>
        <v>1063400</v>
      </c>
      <c r="G72" s="174"/>
      <c r="H72" s="175"/>
      <c r="I72" s="89">
        <f t="shared" si="17"/>
        <v>0</v>
      </c>
      <c r="J72" s="90">
        <f t="shared" si="18"/>
        <v>0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1.25" customHeight="1">
      <c r="A73" s="214">
        <v>45328.0</v>
      </c>
      <c r="B73" s="165" t="s">
        <v>257</v>
      </c>
      <c r="C73" s="166" t="s">
        <v>5</v>
      </c>
      <c r="D73" s="99">
        <v>301.67</v>
      </c>
      <c r="E73" s="100">
        <f>+P.U!F2231</f>
        <v>45950</v>
      </c>
      <c r="F73" s="84">
        <f t="shared" si="16"/>
        <v>13861737</v>
      </c>
      <c r="G73" s="174"/>
      <c r="H73" s="175"/>
      <c r="I73" s="89">
        <f t="shared" si="17"/>
        <v>0</v>
      </c>
      <c r="J73" s="90">
        <f t="shared" si="18"/>
        <v>0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1.25" customHeight="1">
      <c r="A74" s="194" t="s">
        <v>259</v>
      </c>
      <c r="B74" s="195" t="s">
        <v>260</v>
      </c>
      <c r="C74" s="197"/>
      <c r="D74" s="197"/>
      <c r="E74" s="198"/>
      <c r="F74" s="197"/>
      <c r="G74" s="154"/>
      <c r="H74" s="155"/>
      <c r="I74" s="155"/>
      <c r="J74" s="199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1.25" customHeight="1">
      <c r="A75" s="163" t="s">
        <v>262</v>
      </c>
      <c r="B75" s="165" t="s">
        <v>263</v>
      </c>
      <c r="C75" s="166" t="s">
        <v>30</v>
      </c>
      <c r="D75" s="99">
        <v>67.0</v>
      </c>
      <c r="E75" s="100">
        <f>+P.U!F2275</f>
        <v>24325</v>
      </c>
      <c r="F75" s="84">
        <f t="shared" ref="F75:F83" si="19">ROUND(D75*E75,0)</f>
        <v>1629775</v>
      </c>
      <c r="G75" s="85">
        <v>9.0</v>
      </c>
      <c r="H75" s="87" t="s">
        <v>42</v>
      </c>
      <c r="I75" s="89">
        <f t="shared" ref="I75:I83" si="20">G75*100%/D75</f>
        <v>0.1343283582</v>
      </c>
      <c r="J75" s="90">
        <f t="shared" ref="J75:J87" si="21">I75*F75</f>
        <v>218925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1.25" customHeight="1">
      <c r="A76" s="163" t="s">
        <v>264</v>
      </c>
      <c r="B76" s="165" t="s">
        <v>219</v>
      </c>
      <c r="C76" s="166" t="s">
        <v>142</v>
      </c>
      <c r="D76" s="99">
        <v>271.05</v>
      </c>
      <c r="E76" s="100">
        <f>+P.U!F2319</f>
        <v>13093</v>
      </c>
      <c r="F76" s="84">
        <f t="shared" si="19"/>
        <v>3548858</v>
      </c>
      <c r="G76" s="174"/>
      <c r="H76" s="175"/>
      <c r="I76" s="89">
        <f t="shared" si="20"/>
        <v>0</v>
      </c>
      <c r="J76" s="90">
        <f t="shared" si="21"/>
        <v>0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1.25" customHeight="1">
      <c r="A77" s="163" t="s">
        <v>265</v>
      </c>
      <c r="B77" s="165" t="s">
        <v>266</v>
      </c>
      <c r="C77" s="166" t="s">
        <v>30</v>
      </c>
      <c r="D77" s="99">
        <v>7.0</v>
      </c>
      <c r="E77" s="100">
        <f>+P.U!F2363</f>
        <v>134775</v>
      </c>
      <c r="F77" s="84">
        <f t="shared" si="19"/>
        <v>943425</v>
      </c>
      <c r="G77" s="174"/>
      <c r="H77" s="175"/>
      <c r="I77" s="89">
        <f t="shared" si="20"/>
        <v>0</v>
      </c>
      <c r="J77" s="90">
        <f t="shared" si="21"/>
        <v>0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1.25" customHeight="1">
      <c r="A78" s="163" t="s">
        <v>267</v>
      </c>
      <c r="B78" s="165" t="s">
        <v>268</v>
      </c>
      <c r="C78" s="166" t="s">
        <v>30</v>
      </c>
      <c r="D78" s="99">
        <v>10.0</v>
      </c>
      <c r="E78" s="100">
        <f>+P.U!F2409</f>
        <v>139775</v>
      </c>
      <c r="F78" s="84">
        <f t="shared" si="19"/>
        <v>1397750</v>
      </c>
      <c r="G78" s="174"/>
      <c r="H78" s="175"/>
      <c r="I78" s="89">
        <f t="shared" si="20"/>
        <v>0</v>
      </c>
      <c r="J78" s="90">
        <f t="shared" si="21"/>
        <v>0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1.25" customHeight="1">
      <c r="A79" s="163" t="s">
        <v>269</v>
      </c>
      <c r="B79" s="165" t="s">
        <v>270</v>
      </c>
      <c r="C79" s="166" t="s">
        <v>30</v>
      </c>
      <c r="D79" s="99">
        <v>8.0</v>
      </c>
      <c r="E79" s="100">
        <f>+P.U!F2453</f>
        <v>157875</v>
      </c>
      <c r="F79" s="84">
        <f t="shared" si="19"/>
        <v>1263000</v>
      </c>
      <c r="G79" s="174"/>
      <c r="H79" s="175"/>
      <c r="I79" s="89">
        <f t="shared" si="20"/>
        <v>0</v>
      </c>
      <c r="J79" s="90">
        <f t="shared" si="21"/>
        <v>0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1.25" customHeight="1">
      <c r="A80" s="163" t="s">
        <v>271</v>
      </c>
      <c r="B80" s="165" t="s">
        <v>272</v>
      </c>
      <c r="C80" s="166" t="s">
        <v>30</v>
      </c>
      <c r="D80" s="99">
        <v>21.0</v>
      </c>
      <c r="E80" s="100">
        <f>+P.U!F2497</f>
        <v>584950</v>
      </c>
      <c r="F80" s="84">
        <f t="shared" si="19"/>
        <v>12283950</v>
      </c>
      <c r="G80" s="85">
        <v>0.0</v>
      </c>
      <c r="H80" s="175"/>
      <c r="I80" s="89">
        <f t="shared" si="20"/>
        <v>0</v>
      </c>
      <c r="J80" s="90">
        <f t="shared" si="21"/>
        <v>0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1.25" customHeight="1">
      <c r="A81" s="163" t="s">
        <v>273</v>
      </c>
      <c r="B81" s="165" t="s">
        <v>274</v>
      </c>
      <c r="C81" s="166" t="s">
        <v>30</v>
      </c>
      <c r="D81" s="99">
        <v>13.0</v>
      </c>
      <c r="E81" s="100">
        <f>+P.U!F2541</f>
        <v>381575</v>
      </c>
      <c r="F81" s="84">
        <f t="shared" si="19"/>
        <v>4960475</v>
      </c>
      <c r="G81" s="174"/>
      <c r="H81" s="175"/>
      <c r="I81" s="89">
        <f t="shared" si="20"/>
        <v>0</v>
      </c>
      <c r="J81" s="90">
        <f t="shared" si="21"/>
        <v>0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1.25" customHeight="1">
      <c r="A82" s="163" t="s">
        <v>275</v>
      </c>
      <c r="B82" s="165" t="s">
        <v>276</v>
      </c>
      <c r="C82" s="166" t="s">
        <v>30</v>
      </c>
      <c r="D82" s="99">
        <v>4.0</v>
      </c>
      <c r="E82" s="100">
        <f>+P.U!F2585</f>
        <v>165875</v>
      </c>
      <c r="F82" s="84">
        <f t="shared" si="19"/>
        <v>663500</v>
      </c>
      <c r="G82" s="174"/>
      <c r="H82" s="175"/>
      <c r="I82" s="89">
        <f t="shared" si="20"/>
        <v>0</v>
      </c>
      <c r="J82" s="90">
        <f t="shared" si="21"/>
        <v>0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1.25" customHeight="1">
      <c r="A83" s="163" t="s">
        <v>277</v>
      </c>
      <c r="B83" s="165" t="s">
        <v>278</v>
      </c>
      <c r="C83" s="166" t="s">
        <v>30</v>
      </c>
      <c r="D83" s="99">
        <v>4.0</v>
      </c>
      <c r="E83" s="100">
        <f>+P.U!F2629</f>
        <v>157875</v>
      </c>
      <c r="F83" s="84">
        <f t="shared" si="19"/>
        <v>631500</v>
      </c>
      <c r="G83" s="174"/>
      <c r="H83" s="175"/>
      <c r="I83" s="89">
        <f t="shared" si="20"/>
        <v>0</v>
      </c>
      <c r="J83" s="90">
        <f t="shared" si="21"/>
        <v>0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1.25" customHeight="1">
      <c r="A84" s="224">
        <v>40216.0</v>
      </c>
      <c r="B84" s="95" t="s">
        <v>279</v>
      </c>
      <c r="C84" s="225"/>
      <c r="D84" s="226"/>
      <c r="E84" s="227"/>
      <c r="F84" s="84"/>
      <c r="G84" s="174"/>
      <c r="H84" s="175"/>
      <c r="I84" s="89"/>
      <c r="J84" s="90">
        <f t="shared" si="21"/>
        <v>0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1.25" customHeight="1">
      <c r="A85" s="163" t="s">
        <v>281</v>
      </c>
      <c r="B85" s="165" t="s">
        <v>282</v>
      </c>
      <c r="C85" s="166" t="s">
        <v>30</v>
      </c>
      <c r="D85" s="99">
        <v>67.0</v>
      </c>
      <c r="E85" s="100">
        <f>+P.U!F2671</f>
        <v>26941</v>
      </c>
      <c r="F85" s="84">
        <f t="shared" ref="F85:F87" si="22">ROUND(D85*E85,0)</f>
        <v>1805047</v>
      </c>
      <c r="G85" s="174"/>
      <c r="H85" s="175"/>
      <c r="I85" s="89">
        <f t="shared" ref="I85:I87" si="23">G85*100%/D85</f>
        <v>0</v>
      </c>
      <c r="J85" s="90">
        <f t="shared" si="21"/>
        <v>0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1.25" customHeight="1">
      <c r="A86" s="163" t="s">
        <v>284</v>
      </c>
      <c r="B86" s="165" t="s">
        <v>285</v>
      </c>
      <c r="C86" s="166" t="s">
        <v>30</v>
      </c>
      <c r="D86" s="99">
        <v>67.0</v>
      </c>
      <c r="E86" s="100">
        <f>+P.U!F2715</f>
        <v>46983</v>
      </c>
      <c r="F86" s="84">
        <f t="shared" si="22"/>
        <v>3147861</v>
      </c>
      <c r="G86" s="174"/>
      <c r="H86" s="175"/>
      <c r="I86" s="89">
        <f t="shared" si="23"/>
        <v>0</v>
      </c>
      <c r="J86" s="90">
        <f t="shared" si="21"/>
        <v>0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1.25" customHeight="1">
      <c r="A87" s="163" t="s">
        <v>286</v>
      </c>
      <c r="B87" s="165" t="s">
        <v>287</v>
      </c>
      <c r="C87" s="166" t="s">
        <v>30</v>
      </c>
      <c r="D87" s="99">
        <v>67.0</v>
      </c>
      <c r="E87" s="100">
        <f>+P.U!F2759</f>
        <v>15857</v>
      </c>
      <c r="F87" s="84">
        <f t="shared" si="22"/>
        <v>1062419</v>
      </c>
      <c r="G87" s="174"/>
      <c r="H87" s="175"/>
      <c r="I87" s="89">
        <f t="shared" si="23"/>
        <v>0</v>
      </c>
      <c r="J87" s="90">
        <f t="shared" si="21"/>
        <v>0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1.25" customHeight="1">
      <c r="A88" s="194" t="s">
        <v>288</v>
      </c>
      <c r="B88" s="195" t="s">
        <v>289</v>
      </c>
      <c r="C88" s="197"/>
      <c r="D88" s="197"/>
      <c r="E88" s="198"/>
      <c r="F88" s="197"/>
      <c r="G88" s="154"/>
      <c r="H88" s="155"/>
      <c r="I88" s="155"/>
      <c r="J88" s="199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1.25" customHeight="1">
      <c r="A89" s="163" t="s">
        <v>290</v>
      </c>
      <c r="B89" s="165" t="s">
        <v>291</v>
      </c>
      <c r="C89" s="166" t="s">
        <v>30</v>
      </c>
      <c r="D89" s="99">
        <v>1.0</v>
      </c>
      <c r="E89" s="100">
        <f>+P.U!F2803</f>
        <v>111725</v>
      </c>
      <c r="F89" s="84">
        <f t="shared" ref="F89:F112" si="24">ROUND(D89*E89,0)</f>
        <v>111725</v>
      </c>
      <c r="G89" s="174"/>
      <c r="H89" s="175"/>
      <c r="I89" s="89">
        <f t="shared" ref="I89:I112" si="25">G89*100%/D89</f>
        <v>0</v>
      </c>
      <c r="J89" s="90">
        <f t="shared" ref="J89:J112" si="26">I89*F89</f>
        <v>0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1.25" customHeight="1">
      <c r="A90" s="163" t="s">
        <v>292</v>
      </c>
      <c r="B90" s="165" t="s">
        <v>293</v>
      </c>
      <c r="C90" s="166" t="s">
        <v>30</v>
      </c>
      <c r="D90" s="99">
        <v>1.0</v>
      </c>
      <c r="E90" s="100">
        <f>+P.U!F2847</f>
        <v>41725</v>
      </c>
      <c r="F90" s="84">
        <f t="shared" si="24"/>
        <v>41725</v>
      </c>
      <c r="G90" s="174"/>
      <c r="H90" s="175"/>
      <c r="I90" s="89">
        <f t="shared" si="25"/>
        <v>0</v>
      </c>
      <c r="J90" s="90">
        <f t="shared" si="26"/>
        <v>0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1.25" customHeight="1">
      <c r="A91" s="163" t="s">
        <v>294</v>
      </c>
      <c r="B91" s="165" t="s">
        <v>295</v>
      </c>
      <c r="C91" s="166" t="s">
        <v>30</v>
      </c>
      <c r="D91" s="99">
        <v>16.0</v>
      </c>
      <c r="E91" s="100">
        <f>+P.U!F2891</f>
        <v>25375</v>
      </c>
      <c r="F91" s="84">
        <f t="shared" si="24"/>
        <v>406000</v>
      </c>
      <c r="G91" s="174"/>
      <c r="H91" s="175"/>
      <c r="I91" s="89">
        <f t="shared" si="25"/>
        <v>0</v>
      </c>
      <c r="J91" s="90">
        <f t="shared" si="26"/>
        <v>0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1.25" customHeight="1">
      <c r="A92" s="163" t="s">
        <v>296</v>
      </c>
      <c r="B92" s="165" t="s">
        <v>297</v>
      </c>
      <c r="C92" s="166" t="s">
        <v>30</v>
      </c>
      <c r="D92" s="99">
        <v>12.0</v>
      </c>
      <c r="E92" s="100">
        <f>+P.U!F2935</f>
        <v>34375</v>
      </c>
      <c r="F92" s="84">
        <f t="shared" si="24"/>
        <v>412500</v>
      </c>
      <c r="G92" s="174"/>
      <c r="H92" s="175"/>
      <c r="I92" s="89">
        <f t="shared" si="25"/>
        <v>0</v>
      </c>
      <c r="J92" s="90">
        <f t="shared" si="26"/>
        <v>0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1.25" customHeight="1">
      <c r="A93" s="163" t="s">
        <v>300</v>
      </c>
      <c r="B93" s="165" t="s">
        <v>301</v>
      </c>
      <c r="C93" s="166" t="s">
        <v>64</v>
      </c>
      <c r="D93" s="99">
        <v>13.0</v>
      </c>
      <c r="E93" s="100">
        <f>+P.U!F2979</f>
        <v>268000</v>
      </c>
      <c r="F93" s="84">
        <f t="shared" si="24"/>
        <v>3484000</v>
      </c>
      <c r="G93" s="174"/>
      <c r="H93" s="175"/>
      <c r="I93" s="89">
        <f t="shared" si="25"/>
        <v>0</v>
      </c>
      <c r="J93" s="90">
        <f t="shared" si="26"/>
        <v>0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1.25" customHeight="1">
      <c r="A94" s="163" t="s">
        <v>302</v>
      </c>
      <c r="B94" s="165" t="s">
        <v>303</v>
      </c>
      <c r="C94" s="166" t="s">
        <v>30</v>
      </c>
      <c r="D94" s="99">
        <v>11.0</v>
      </c>
      <c r="E94" s="100">
        <f>+P.U!F3023</f>
        <v>35200</v>
      </c>
      <c r="F94" s="84">
        <f t="shared" si="24"/>
        <v>387200</v>
      </c>
      <c r="G94" s="174"/>
      <c r="H94" s="175"/>
      <c r="I94" s="89">
        <f t="shared" si="25"/>
        <v>0</v>
      </c>
      <c r="J94" s="90">
        <f t="shared" si="26"/>
        <v>0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1.25" customHeight="1">
      <c r="A95" s="163" t="s">
        <v>304</v>
      </c>
      <c r="B95" s="165" t="s">
        <v>305</v>
      </c>
      <c r="C95" s="166" t="s">
        <v>30</v>
      </c>
      <c r="D95" s="99">
        <v>13.0</v>
      </c>
      <c r="E95" s="100">
        <f>+P.U!F3067</f>
        <v>45200</v>
      </c>
      <c r="F95" s="84">
        <f t="shared" si="24"/>
        <v>587600</v>
      </c>
      <c r="G95" s="174"/>
      <c r="H95" s="175"/>
      <c r="I95" s="89">
        <f t="shared" si="25"/>
        <v>0</v>
      </c>
      <c r="J95" s="90">
        <f t="shared" si="26"/>
        <v>0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1.25" customHeight="1">
      <c r="A96" s="163" t="s">
        <v>306</v>
      </c>
      <c r="B96" s="165" t="s">
        <v>307</v>
      </c>
      <c r="C96" s="166" t="s">
        <v>30</v>
      </c>
      <c r="D96" s="99">
        <v>8.0</v>
      </c>
      <c r="E96" s="100">
        <f>+P.U!F3111</f>
        <v>92250</v>
      </c>
      <c r="F96" s="84">
        <f t="shared" si="24"/>
        <v>738000</v>
      </c>
      <c r="G96" s="174"/>
      <c r="H96" s="175"/>
      <c r="I96" s="89">
        <f t="shared" si="25"/>
        <v>0</v>
      </c>
      <c r="J96" s="90">
        <f t="shared" si="26"/>
        <v>0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1.25" customHeight="1">
      <c r="A97" s="163" t="s">
        <v>308</v>
      </c>
      <c r="B97" s="165" t="s">
        <v>309</v>
      </c>
      <c r="C97" s="166" t="s">
        <v>30</v>
      </c>
      <c r="D97" s="99">
        <v>7.0</v>
      </c>
      <c r="E97" s="100">
        <f>+P.U!F3155</f>
        <v>95250</v>
      </c>
      <c r="F97" s="84">
        <f t="shared" si="24"/>
        <v>666750</v>
      </c>
      <c r="G97" s="174"/>
      <c r="H97" s="175"/>
      <c r="I97" s="89">
        <f t="shared" si="25"/>
        <v>0</v>
      </c>
      <c r="J97" s="90">
        <f t="shared" si="26"/>
        <v>0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1.25" customHeight="1">
      <c r="A98" s="214">
        <v>40217.0</v>
      </c>
      <c r="B98" s="165" t="s">
        <v>310</v>
      </c>
      <c r="C98" s="166" t="s">
        <v>30</v>
      </c>
      <c r="D98" s="99">
        <v>18.0</v>
      </c>
      <c r="E98" s="100">
        <f>+P.U!F3199</f>
        <v>27375</v>
      </c>
      <c r="F98" s="84">
        <f t="shared" si="24"/>
        <v>492750</v>
      </c>
      <c r="G98" s="174"/>
      <c r="H98" s="175"/>
      <c r="I98" s="89">
        <f t="shared" si="25"/>
        <v>0</v>
      </c>
      <c r="J98" s="90">
        <f t="shared" si="26"/>
        <v>0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1.25" customHeight="1">
      <c r="A99" s="214">
        <v>40582.0</v>
      </c>
      <c r="B99" s="165" t="s">
        <v>312</v>
      </c>
      <c r="C99" s="166" t="s">
        <v>30</v>
      </c>
      <c r="D99" s="99">
        <v>1.0</v>
      </c>
      <c r="E99" s="100">
        <f>+P.U!F3243</f>
        <v>194000</v>
      </c>
      <c r="F99" s="84">
        <f t="shared" si="24"/>
        <v>194000</v>
      </c>
      <c r="G99" s="174"/>
      <c r="H99" s="175"/>
      <c r="I99" s="89">
        <f t="shared" si="25"/>
        <v>0</v>
      </c>
      <c r="J99" s="90">
        <f t="shared" si="26"/>
        <v>0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1.25" customHeight="1">
      <c r="A100" s="214">
        <v>40947.0</v>
      </c>
      <c r="B100" s="165" t="s">
        <v>314</v>
      </c>
      <c r="C100" s="166" t="s">
        <v>30</v>
      </c>
      <c r="D100" s="99">
        <v>17.0</v>
      </c>
      <c r="E100" s="100">
        <f>+P.U!F3287</f>
        <v>164000</v>
      </c>
      <c r="F100" s="84">
        <f t="shared" si="24"/>
        <v>2788000</v>
      </c>
      <c r="G100" s="174"/>
      <c r="H100" s="175"/>
      <c r="I100" s="89">
        <f t="shared" si="25"/>
        <v>0</v>
      </c>
      <c r="J100" s="90">
        <f t="shared" si="26"/>
        <v>0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1.25" customHeight="1">
      <c r="A101" s="214">
        <v>41313.0</v>
      </c>
      <c r="B101" s="165" t="s">
        <v>317</v>
      </c>
      <c r="C101" s="166" t="s">
        <v>30</v>
      </c>
      <c r="D101" s="99">
        <v>2.0</v>
      </c>
      <c r="E101" s="100">
        <f>+P.U!F3331</f>
        <v>141725</v>
      </c>
      <c r="F101" s="84">
        <f t="shared" si="24"/>
        <v>283450</v>
      </c>
      <c r="G101" s="174"/>
      <c r="H101" s="175"/>
      <c r="I101" s="89">
        <f t="shared" si="25"/>
        <v>0</v>
      </c>
      <c r="J101" s="90">
        <f t="shared" si="26"/>
        <v>0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1.25" customHeight="1">
      <c r="A102" s="214">
        <v>41678.0</v>
      </c>
      <c r="B102" s="165" t="s">
        <v>319</v>
      </c>
      <c r="C102" s="166" t="s">
        <v>30</v>
      </c>
      <c r="D102" s="99">
        <v>2.0</v>
      </c>
      <c r="E102" s="100">
        <f>+P.U!F3375</f>
        <v>79200</v>
      </c>
      <c r="F102" s="84">
        <f t="shared" si="24"/>
        <v>158400</v>
      </c>
      <c r="G102" s="174"/>
      <c r="H102" s="175"/>
      <c r="I102" s="89">
        <f t="shared" si="25"/>
        <v>0</v>
      </c>
      <c r="J102" s="90">
        <f t="shared" si="26"/>
        <v>0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1.25" customHeight="1">
      <c r="A103" s="214">
        <v>42043.0</v>
      </c>
      <c r="B103" s="165" t="s">
        <v>320</v>
      </c>
      <c r="C103" s="166" t="s">
        <v>30</v>
      </c>
      <c r="D103" s="99">
        <v>68.0</v>
      </c>
      <c r="E103" s="100">
        <f>+P.U!F3419</f>
        <v>16200</v>
      </c>
      <c r="F103" s="84">
        <f t="shared" si="24"/>
        <v>1101600</v>
      </c>
      <c r="G103" s="174"/>
      <c r="H103" s="175"/>
      <c r="I103" s="89">
        <f t="shared" si="25"/>
        <v>0</v>
      </c>
      <c r="J103" s="90">
        <f t="shared" si="26"/>
        <v>0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1.25" customHeight="1">
      <c r="A104" s="214">
        <v>42408.0</v>
      </c>
      <c r="B104" s="165" t="s">
        <v>322</v>
      </c>
      <c r="C104" s="166" t="s">
        <v>30</v>
      </c>
      <c r="D104" s="99">
        <v>5.0</v>
      </c>
      <c r="E104" s="100">
        <f>+P.U!F3463</f>
        <v>184000</v>
      </c>
      <c r="F104" s="84">
        <f t="shared" si="24"/>
        <v>920000</v>
      </c>
      <c r="G104" s="174"/>
      <c r="H104" s="175"/>
      <c r="I104" s="89">
        <f t="shared" si="25"/>
        <v>0</v>
      </c>
      <c r="J104" s="90">
        <f t="shared" si="26"/>
        <v>0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1.25" customHeight="1">
      <c r="A105" s="214">
        <v>42774.0</v>
      </c>
      <c r="B105" s="165" t="s">
        <v>323</v>
      </c>
      <c r="C105" s="166" t="s">
        <v>30</v>
      </c>
      <c r="D105" s="99">
        <v>2.0</v>
      </c>
      <c r="E105" s="100">
        <f>+P.U!F3507</f>
        <v>124000</v>
      </c>
      <c r="F105" s="84">
        <f t="shared" si="24"/>
        <v>248000</v>
      </c>
      <c r="G105" s="174"/>
      <c r="H105" s="175"/>
      <c r="I105" s="89">
        <f t="shared" si="25"/>
        <v>0</v>
      </c>
      <c r="J105" s="90">
        <f t="shared" si="26"/>
        <v>0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1.25" customHeight="1">
      <c r="A106" s="214">
        <v>43139.0</v>
      </c>
      <c r="B106" s="165" t="s">
        <v>324</v>
      </c>
      <c r="C106" s="166" t="s">
        <v>30</v>
      </c>
      <c r="D106" s="99">
        <v>1.0</v>
      </c>
      <c r="E106" s="100">
        <f>+P.U!F3551</f>
        <v>297475</v>
      </c>
      <c r="F106" s="84">
        <f t="shared" si="24"/>
        <v>297475</v>
      </c>
      <c r="G106" s="174"/>
      <c r="H106" s="175"/>
      <c r="I106" s="89">
        <f t="shared" si="25"/>
        <v>0</v>
      </c>
      <c r="J106" s="90">
        <f t="shared" si="26"/>
        <v>0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1.25" customHeight="1">
      <c r="A107" s="214">
        <v>43504.0</v>
      </c>
      <c r="B107" s="165" t="s">
        <v>325</v>
      </c>
      <c r="C107" s="166" t="s">
        <v>142</v>
      </c>
      <c r="D107" s="99">
        <v>1.8</v>
      </c>
      <c r="E107" s="100">
        <f>+P.U!F3595</f>
        <v>148475</v>
      </c>
      <c r="F107" s="84">
        <f t="shared" si="24"/>
        <v>267255</v>
      </c>
      <c r="G107" s="174"/>
      <c r="H107" s="175"/>
      <c r="I107" s="89">
        <f t="shared" si="25"/>
        <v>0</v>
      </c>
      <c r="J107" s="90">
        <f t="shared" si="26"/>
        <v>0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1.25" customHeight="1">
      <c r="A108" s="214">
        <v>43869.0</v>
      </c>
      <c r="B108" s="165" t="s">
        <v>326</v>
      </c>
      <c r="C108" s="166" t="s">
        <v>30</v>
      </c>
      <c r="D108" s="99">
        <v>5.0</v>
      </c>
      <c r="E108" s="100">
        <f>+P.U!F3639</f>
        <v>167475</v>
      </c>
      <c r="F108" s="84">
        <f t="shared" si="24"/>
        <v>837375</v>
      </c>
      <c r="G108" s="174"/>
      <c r="H108" s="175"/>
      <c r="I108" s="89">
        <f t="shared" si="25"/>
        <v>0</v>
      </c>
      <c r="J108" s="90">
        <f t="shared" si="26"/>
        <v>0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1.25" customHeight="1">
      <c r="A109" s="214">
        <v>44235.0</v>
      </c>
      <c r="B109" s="165" t="s">
        <v>327</v>
      </c>
      <c r="C109" s="166" t="s">
        <v>142</v>
      </c>
      <c r="D109" s="99">
        <v>7.95</v>
      </c>
      <c r="E109" s="100">
        <f>+P.U!F3683</f>
        <v>178475</v>
      </c>
      <c r="F109" s="84">
        <f t="shared" si="24"/>
        <v>1418876</v>
      </c>
      <c r="G109" s="174"/>
      <c r="H109" s="175"/>
      <c r="I109" s="89">
        <f t="shared" si="25"/>
        <v>0</v>
      </c>
      <c r="J109" s="90">
        <f t="shared" si="26"/>
        <v>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1.25" customHeight="1">
      <c r="A110" s="214">
        <v>44600.0</v>
      </c>
      <c r="B110" s="165" t="s">
        <v>328</v>
      </c>
      <c r="C110" s="166" t="s">
        <v>30</v>
      </c>
      <c r="D110" s="99">
        <v>10.0</v>
      </c>
      <c r="E110" s="100">
        <f>+P.U!F3727</f>
        <v>97475</v>
      </c>
      <c r="F110" s="84">
        <f t="shared" si="24"/>
        <v>974750</v>
      </c>
      <c r="G110" s="174"/>
      <c r="H110" s="175"/>
      <c r="I110" s="89">
        <f t="shared" si="25"/>
        <v>0</v>
      </c>
      <c r="J110" s="90">
        <f t="shared" si="26"/>
        <v>0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1.25" customHeight="1">
      <c r="A111" s="214">
        <v>44965.0</v>
      </c>
      <c r="B111" s="165" t="s">
        <v>329</v>
      </c>
      <c r="C111" s="166" t="s">
        <v>30</v>
      </c>
      <c r="D111" s="99">
        <v>10.0</v>
      </c>
      <c r="E111" s="100">
        <f>+P.U!F3771</f>
        <v>104000</v>
      </c>
      <c r="F111" s="84">
        <f t="shared" si="24"/>
        <v>1040000</v>
      </c>
      <c r="G111" s="174"/>
      <c r="H111" s="175"/>
      <c r="I111" s="89">
        <f t="shared" si="25"/>
        <v>0</v>
      </c>
      <c r="J111" s="90">
        <f t="shared" si="26"/>
        <v>0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1.25" customHeight="1">
      <c r="A112" s="214">
        <v>45330.0</v>
      </c>
      <c r="B112" s="165" t="s">
        <v>330</v>
      </c>
      <c r="C112" s="166" t="s">
        <v>5</v>
      </c>
      <c r="D112" s="99">
        <v>6.6</v>
      </c>
      <c r="E112" s="100">
        <f>+P.U!F3815</f>
        <v>66900</v>
      </c>
      <c r="F112" s="84">
        <f t="shared" si="24"/>
        <v>441540</v>
      </c>
      <c r="G112" s="174"/>
      <c r="H112" s="175"/>
      <c r="I112" s="89">
        <f t="shared" si="25"/>
        <v>0</v>
      </c>
      <c r="J112" s="90">
        <f t="shared" si="26"/>
        <v>0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1.25" customHeight="1">
      <c r="A113" s="194" t="s">
        <v>331</v>
      </c>
      <c r="B113" s="195" t="s">
        <v>332</v>
      </c>
      <c r="C113" s="197"/>
      <c r="D113" s="197"/>
      <c r="E113" s="198"/>
      <c r="F113" s="197"/>
      <c r="G113" s="154"/>
      <c r="H113" s="155"/>
      <c r="I113" s="155"/>
      <c r="J113" s="199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1.25" customHeight="1">
      <c r="A114" s="94" t="s">
        <v>334</v>
      </c>
      <c r="B114" s="95" t="s">
        <v>335</v>
      </c>
      <c r="C114" s="225"/>
      <c r="D114" s="225"/>
      <c r="E114" s="227"/>
      <c r="F114" s="225"/>
      <c r="G114" s="236"/>
      <c r="H114" s="175"/>
      <c r="I114" s="89"/>
      <c r="J114" s="90">
        <f t="shared" ref="J114:J117" si="27">I114*F114</f>
        <v>0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1.25" customHeight="1">
      <c r="A115" s="163" t="s">
        <v>338</v>
      </c>
      <c r="B115" s="165" t="s">
        <v>339</v>
      </c>
      <c r="C115" s="166" t="s">
        <v>64</v>
      </c>
      <c r="D115" s="99">
        <v>110.0</v>
      </c>
      <c r="E115" s="100">
        <f>+P.U!F3859</f>
        <v>69950</v>
      </c>
      <c r="F115" s="84">
        <f t="shared" ref="F115:F117" si="28">ROUND(D115*E115,0)</f>
        <v>7694500</v>
      </c>
      <c r="G115" s="174"/>
      <c r="H115" s="175"/>
      <c r="I115" s="89">
        <f t="shared" ref="I115:I117" si="29">G115*100%/D115</f>
        <v>0</v>
      </c>
      <c r="J115" s="90">
        <f t="shared" si="27"/>
        <v>0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1.25" customHeight="1">
      <c r="A116" s="163" t="s">
        <v>341</v>
      </c>
      <c r="B116" s="165" t="s">
        <v>342</v>
      </c>
      <c r="C116" s="166" t="s">
        <v>64</v>
      </c>
      <c r="D116" s="99">
        <v>68.0</v>
      </c>
      <c r="E116" s="100">
        <f>+P.U!F3903</f>
        <v>42950</v>
      </c>
      <c r="F116" s="84">
        <f t="shared" si="28"/>
        <v>2920600</v>
      </c>
      <c r="G116" s="174"/>
      <c r="H116" s="175"/>
      <c r="I116" s="89">
        <f t="shared" si="29"/>
        <v>0</v>
      </c>
      <c r="J116" s="90">
        <f t="shared" si="27"/>
        <v>0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1.25" customHeight="1">
      <c r="A117" s="163" t="s">
        <v>343</v>
      </c>
      <c r="B117" s="165" t="s">
        <v>344</v>
      </c>
      <c r="C117" s="166" t="s">
        <v>64</v>
      </c>
      <c r="D117" s="99">
        <v>178.0</v>
      </c>
      <c r="E117" s="100">
        <f>+P.U!F3947</f>
        <v>5850</v>
      </c>
      <c r="F117" s="84">
        <f t="shared" si="28"/>
        <v>1041300</v>
      </c>
      <c r="G117" s="85">
        <v>56.0</v>
      </c>
      <c r="H117" s="175"/>
      <c r="I117" s="89">
        <f t="shared" si="29"/>
        <v>0.3146067416</v>
      </c>
      <c r="J117" s="90">
        <f t="shared" si="27"/>
        <v>327600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1.25" customHeight="1">
      <c r="A118" s="194" t="s">
        <v>346</v>
      </c>
      <c r="B118" s="195" t="s">
        <v>347</v>
      </c>
      <c r="C118" s="197"/>
      <c r="D118" s="197"/>
      <c r="E118" s="198"/>
      <c r="F118" s="197"/>
      <c r="G118" s="154"/>
      <c r="H118" s="155"/>
      <c r="I118" s="155"/>
      <c r="J118" s="199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1.25" customHeight="1">
      <c r="A119" s="163" t="s">
        <v>348</v>
      </c>
      <c r="B119" s="165" t="s">
        <v>349</v>
      </c>
      <c r="C119" s="166" t="s">
        <v>5</v>
      </c>
      <c r="D119" s="99">
        <v>96.26</v>
      </c>
      <c r="E119" s="100">
        <f>+P.U!F3991</f>
        <v>6274</v>
      </c>
      <c r="F119" s="84">
        <f t="shared" ref="F119:F124" si="30">ROUND(D119*E119,0)</f>
        <v>603935</v>
      </c>
      <c r="G119" s="174"/>
      <c r="H119" s="175"/>
      <c r="I119" s="89">
        <f t="shared" ref="I119:I124" si="31">G119*100%/D119</f>
        <v>0</v>
      </c>
      <c r="J119" s="90">
        <f t="shared" ref="J119:J124" si="32">I119*F119</f>
        <v>0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1.25" customHeight="1">
      <c r="A120" s="163" t="s">
        <v>350</v>
      </c>
      <c r="B120" s="165" t="s">
        <v>351</v>
      </c>
      <c r="C120" s="166" t="s">
        <v>5</v>
      </c>
      <c r="D120" s="99">
        <v>83.34</v>
      </c>
      <c r="E120" s="100">
        <f>+P.U!F4035</f>
        <v>48921</v>
      </c>
      <c r="F120" s="84">
        <f t="shared" si="30"/>
        <v>4077076</v>
      </c>
      <c r="G120" s="174"/>
      <c r="H120" s="175"/>
      <c r="I120" s="89">
        <f t="shared" si="31"/>
        <v>0</v>
      </c>
      <c r="J120" s="90">
        <f t="shared" si="32"/>
        <v>0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1.25" customHeight="1">
      <c r="A121" s="163" t="s">
        <v>353</v>
      </c>
      <c r="B121" s="165" t="s">
        <v>354</v>
      </c>
      <c r="C121" s="166" t="s">
        <v>5</v>
      </c>
      <c r="D121" s="99">
        <v>12.92</v>
      </c>
      <c r="E121" s="100">
        <f>+P.U!F4079</f>
        <v>48880</v>
      </c>
      <c r="F121" s="84">
        <f t="shared" si="30"/>
        <v>631530</v>
      </c>
      <c r="G121" s="174"/>
      <c r="H121" s="175"/>
      <c r="I121" s="89">
        <f t="shared" si="31"/>
        <v>0</v>
      </c>
      <c r="J121" s="90">
        <f t="shared" si="32"/>
        <v>0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1.25" customHeight="1">
      <c r="A122" s="163" t="s">
        <v>355</v>
      </c>
      <c r="B122" s="165" t="s">
        <v>356</v>
      </c>
      <c r="C122" s="166" t="s">
        <v>142</v>
      </c>
      <c r="D122" s="99">
        <v>37.96</v>
      </c>
      <c r="E122" s="100">
        <f>+P.U!F4123</f>
        <v>14582</v>
      </c>
      <c r="F122" s="84">
        <f t="shared" si="30"/>
        <v>553533</v>
      </c>
      <c r="G122" s="174"/>
      <c r="H122" s="175"/>
      <c r="I122" s="89">
        <f t="shared" si="31"/>
        <v>0</v>
      </c>
      <c r="J122" s="90">
        <f t="shared" si="32"/>
        <v>0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1.25" customHeight="1">
      <c r="A123" s="163" t="s">
        <v>357</v>
      </c>
      <c r="B123" s="165" t="s">
        <v>358</v>
      </c>
      <c r="C123" s="166" t="s">
        <v>142</v>
      </c>
      <c r="D123" s="99">
        <v>26.4</v>
      </c>
      <c r="E123" s="100">
        <f>+P.U!F4167</f>
        <v>180325</v>
      </c>
      <c r="F123" s="84">
        <f t="shared" si="30"/>
        <v>4760580</v>
      </c>
      <c r="G123" s="174"/>
      <c r="H123" s="175"/>
      <c r="I123" s="89">
        <f t="shared" si="31"/>
        <v>0</v>
      </c>
      <c r="J123" s="90">
        <f t="shared" si="32"/>
        <v>0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1.25" customHeight="1">
      <c r="A124" s="163" t="s">
        <v>359</v>
      </c>
      <c r="B124" s="165" t="s">
        <v>360</v>
      </c>
      <c r="C124" s="166" t="s">
        <v>142</v>
      </c>
      <c r="D124" s="99">
        <v>14.9</v>
      </c>
      <c r="E124" s="100">
        <f>+P.U!F4211</f>
        <v>79250</v>
      </c>
      <c r="F124" s="84">
        <f t="shared" si="30"/>
        <v>1180825</v>
      </c>
      <c r="G124" s="174"/>
      <c r="H124" s="175"/>
      <c r="I124" s="89">
        <f t="shared" si="31"/>
        <v>0</v>
      </c>
      <c r="J124" s="90">
        <f t="shared" si="32"/>
        <v>0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1.25" customHeight="1">
      <c r="A125" s="194" t="s">
        <v>361</v>
      </c>
      <c r="B125" s="195" t="s">
        <v>362</v>
      </c>
      <c r="C125" s="197"/>
      <c r="D125" s="197"/>
      <c r="E125" s="198"/>
      <c r="F125" s="197"/>
      <c r="G125" s="154"/>
      <c r="H125" s="155"/>
      <c r="I125" s="155"/>
      <c r="J125" s="199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1.25" customHeight="1">
      <c r="A126" s="163" t="s">
        <v>363</v>
      </c>
      <c r="B126" s="165" t="s">
        <v>364</v>
      </c>
      <c r="C126" s="166" t="s">
        <v>30</v>
      </c>
      <c r="D126" s="99">
        <v>4.0</v>
      </c>
      <c r="E126" s="100">
        <f>+P.U!F4255</f>
        <v>158600</v>
      </c>
      <c r="F126" s="84">
        <f t="shared" ref="F126:F141" si="33">ROUND(D126*E126,0)</f>
        <v>634400</v>
      </c>
      <c r="G126" s="174"/>
      <c r="H126" s="175"/>
      <c r="I126" s="89">
        <f t="shared" ref="I126:I141" si="34">G126*100%/D126</f>
        <v>0</v>
      </c>
      <c r="J126" s="90">
        <f t="shared" ref="J126:J141" si="35">I126*F126</f>
        <v>0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1.25" customHeight="1">
      <c r="A127" s="163" t="s">
        <v>365</v>
      </c>
      <c r="B127" s="165" t="s">
        <v>366</v>
      </c>
      <c r="C127" s="166" t="s">
        <v>30</v>
      </c>
      <c r="D127" s="99">
        <v>1.0</v>
      </c>
      <c r="E127" s="100">
        <f>+P.U!F4299</f>
        <v>84800</v>
      </c>
      <c r="F127" s="84">
        <f t="shared" si="33"/>
        <v>84800</v>
      </c>
      <c r="G127" s="174"/>
      <c r="H127" s="175"/>
      <c r="I127" s="89">
        <f t="shared" si="34"/>
        <v>0</v>
      </c>
      <c r="J127" s="90">
        <f t="shared" si="35"/>
        <v>0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1.25" customHeight="1">
      <c r="A128" s="163" t="s">
        <v>367</v>
      </c>
      <c r="B128" s="165" t="s">
        <v>368</v>
      </c>
      <c r="C128" s="166" t="s">
        <v>30</v>
      </c>
      <c r="D128" s="99">
        <v>1.0</v>
      </c>
      <c r="E128" s="100">
        <f>+P.U!F4343</f>
        <v>174200</v>
      </c>
      <c r="F128" s="84">
        <f t="shared" si="33"/>
        <v>174200</v>
      </c>
      <c r="G128" s="174"/>
      <c r="H128" s="175"/>
      <c r="I128" s="89">
        <f t="shared" si="34"/>
        <v>0</v>
      </c>
      <c r="J128" s="90">
        <f t="shared" si="35"/>
        <v>0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1.25" customHeight="1">
      <c r="A129" s="163" t="s">
        <v>369</v>
      </c>
      <c r="B129" s="165" t="s">
        <v>370</v>
      </c>
      <c r="C129" s="166" t="s">
        <v>30</v>
      </c>
      <c r="D129" s="99">
        <v>28.0</v>
      </c>
      <c r="E129" s="100">
        <f>+P.U!F4387</f>
        <v>62000</v>
      </c>
      <c r="F129" s="84">
        <f t="shared" si="33"/>
        <v>1736000</v>
      </c>
      <c r="G129" s="174"/>
      <c r="H129" s="175"/>
      <c r="I129" s="89">
        <f t="shared" si="34"/>
        <v>0</v>
      </c>
      <c r="J129" s="90">
        <f t="shared" si="35"/>
        <v>0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1.25" customHeight="1">
      <c r="A130" s="163" t="s">
        <v>371</v>
      </c>
      <c r="B130" s="165" t="s">
        <v>372</v>
      </c>
      <c r="C130" s="166" t="s">
        <v>30</v>
      </c>
      <c r="D130" s="99">
        <v>25.0</v>
      </c>
      <c r="E130" s="100">
        <f>+P.U!F4431</f>
        <v>110300</v>
      </c>
      <c r="F130" s="84">
        <f t="shared" si="33"/>
        <v>2757500</v>
      </c>
      <c r="G130" s="174"/>
      <c r="H130" s="175"/>
      <c r="I130" s="89">
        <f t="shared" si="34"/>
        <v>0</v>
      </c>
      <c r="J130" s="90">
        <f t="shared" si="35"/>
        <v>0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1.25" customHeight="1">
      <c r="A131" s="163" t="s">
        <v>374</v>
      </c>
      <c r="B131" s="165" t="s">
        <v>375</v>
      </c>
      <c r="C131" s="166" t="s">
        <v>30</v>
      </c>
      <c r="D131" s="99">
        <v>12.0</v>
      </c>
      <c r="E131" s="100">
        <f>+P.U!F4475</f>
        <v>182000</v>
      </c>
      <c r="F131" s="84">
        <f t="shared" si="33"/>
        <v>2184000</v>
      </c>
      <c r="G131" s="174"/>
      <c r="H131" s="175"/>
      <c r="I131" s="89">
        <f t="shared" si="34"/>
        <v>0</v>
      </c>
      <c r="J131" s="90">
        <f t="shared" si="35"/>
        <v>0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1.25" customHeight="1">
      <c r="A132" s="163" t="s">
        <v>378</v>
      </c>
      <c r="B132" s="165" t="s">
        <v>379</v>
      </c>
      <c r="C132" s="166" t="s">
        <v>30</v>
      </c>
      <c r="D132" s="99">
        <v>10.0</v>
      </c>
      <c r="E132" s="100">
        <f>+P.U!F4519</f>
        <v>232400</v>
      </c>
      <c r="F132" s="84">
        <f t="shared" si="33"/>
        <v>2324000</v>
      </c>
      <c r="G132" s="174"/>
      <c r="H132" s="175"/>
      <c r="I132" s="89">
        <f t="shared" si="34"/>
        <v>0</v>
      </c>
      <c r="J132" s="90">
        <f t="shared" si="35"/>
        <v>0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1.25" customHeight="1">
      <c r="A133" s="163" t="s">
        <v>380</v>
      </c>
      <c r="B133" s="165" t="s">
        <v>381</v>
      </c>
      <c r="C133" s="166" t="s">
        <v>30</v>
      </c>
      <c r="D133" s="99">
        <v>4.0</v>
      </c>
      <c r="E133" s="100">
        <f>+P.U!F4563</f>
        <v>162800</v>
      </c>
      <c r="F133" s="84">
        <f t="shared" si="33"/>
        <v>651200</v>
      </c>
      <c r="G133" s="174"/>
      <c r="H133" s="175"/>
      <c r="I133" s="89">
        <f t="shared" si="34"/>
        <v>0</v>
      </c>
      <c r="J133" s="90">
        <f t="shared" si="35"/>
        <v>0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1.25" customHeight="1">
      <c r="A134" s="163" t="s">
        <v>385</v>
      </c>
      <c r="B134" s="165" t="s">
        <v>386</v>
      </c>
      <c r="C134" s="166" t="s">
        <v>30</v>
      </c>
      <c r="D134" s="99">
        <v>1.0</v>
      </c>
      <c r="E134" s="100">
        <v>5850000.0</v>
      </c>
      <c r="F134" s="84">
        <f t="shared" si="33"/>
        <v>5850000</v>
      </c>
      <c r="G134" s="174"/>
      <c r="H134" s="175"/>
      <c r="I134" s="89">
        <f t="shared" si="34"/>
        <v>0</v>
      </c>
      <c r="J134" s="90">
        <f t="shared" si="35"/>
        <v>0</v>
      </c>
      <c r="K134" s="8"/>
      <c r="L134" s="8"/>
      <c r="M134" s="239">
        <f>SUM(F136:F141)</f>
        <v>10983425</v>
      </c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1.25" customHeight="1">
      <c r="A135" s="214">
        <v>40220.0</v>
      </c>
      <c r="B135" s="165" t="s">
        <v>388</v>
      </c>
      <c r="C135" s="166" t="s">
        <v>30</v>
      </c>
      <c r="D135" s="99">
        <v>20.0</v>
      </c>
      <c r="E135" s="100">
        <f>+P.U!F4651</f>
        <v>189900</v>
      </c>
      <c r="F135" s="84">
        <f t="shared" si="33"/>
        <v>3798000</v>
      </c>
      <c r="G135" s="174"/>
      <c r="H135" s="175"/>
      <c r="I135" s="89">
        <f t="shared" si="34"/>
        <v>0</v>
      </c>
      <c r="J135" s="90">
        <f t="shared" si="35"/>
        <v>0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1.25" customHeight="1">
      <c r="A136" s="214">
        <v>40585.0</v>
      </c>
      <c r="B136" s="165" t="s">
        <v>389</v>
      </c>
      <c r="C136" s="166" t="s">
        <v>30</v>
      </c>
      <c r="D136" s="99">
        <v>1.0</v>
      </c>
      <c r="E136" s="100">
        <f>+P.U!F4695</f>
        <v>2525125</v>
      </c>
      <c r="F136" s="84">
        <f t="shared" si="33"/>
        <v>2525125</v>
      </c>
      <c r="G136" s="174"/>
      <c r="H136" s="175"/>
      <c r="I136" s="89">
        <f t="shared" si="34"/>
        <v>0</v>
      </c>
      <c r="J136" s="90">
        <f t="shared" si="35"/>
        <v>0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1.25" customHeight="1">
      <c r="A137" s="214">
        <v>40950.0</v>
      </c>
      <c r="B137" s="165" t="s">
        <v>390</v>
      </c>
      <c r="C137" s="166" t="s">
        <v>30</v>
      </c>
      <c r="D137" s="99">
        <v>1.0</v>
      </c>
      <c r="E137" s="100">
        <f>+P.U!F4739</f>
        <v>1288200</v>
      </c>
      <c r="F137" s="84">
        <f t="shared" si="33"/>
        <v>1288200</v>
      </c>
      <c r="G137" s="174"/>
      <c r="H137" s="175"/>
      <c r="I137" s="89">
        <f t="shared" si="34"/>
        <v>0</v>
      </c>
      <c r="J137" s="90">
        <f t="shared" si="35"/>
        <v>0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1.25" customHeight="1">
      <c r="A138" s="214">
        <v>41316.0</v>
      </c>
      <c r="B138" s="165" t="s">
        <v>391</v>
      </c>
      <c r="C138" s="166" t="s">
        <v>30</v>
      </c>
      <c r="D138" s="99">
        <v>1.0</v>
      </c>
      <c r="E138" s="100">
        <f>+P.U!F4783</f>
        <v>1688200</v>
      </c>
      <c r="F138" s="84">
        <f t="shared" si="33"/>
        <v>1688200</v>
      </c>
      <c r="G138" s="174"/>
      <c r="H138" s="175"/>
      <c r="I138" s="89">
        <f t="shared" si="34"/>
        <v>0</v>
      </c>
      <c r="J138" s="90">
        <f t="shared" si="35"/>
        <v>0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1.25" customHeight="1">
      <c r="A139" s="214">
        <v>41681.0</v>
      </c>
      <c r="B139" s="165" t="s">
        <v>392</v>
      </c>
      <c r="C139" s="166" t="s">
        <v>30</v>
      </c>
      <c r="D139" s="99">
        <v>1.0</v>
      </c>
      <c r="E139" s="100">
        <f>+P.U!F4827</f>
        <v>988200</v>
      </c>
      <c r="F139" s="84">
        <f t="shared" si="33"/>
        <v>988200</v>
      </c>
      <c r="G139" s="174"/>
      <c r="H139" s="175"/>
      <c r="I139" s="89">
        <f t="shared" si="34"/>
        <v>0</v>
      </c>
      <c r="J139" s="90">
        <f t="shared" si="35"/>
        <v>0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1.25" customHeight="1">
      <c r="A140" s="214">
        <v>42046.0</v>
      </c>
      <c r="B140" s="165" t="s">
        <v>393</v>
      </c>
      <c r="C140" s="166" t="s">
        <v>30</v>
      </c>
      <c r="D140" s="99">
        <v>1.0</v>
      </c>
      <c r="E140" s="100">
        <f>+P.U!F4871</f>
        <v>2546925</v>
      </c>
      <c r="F140" s="84">
        <f t="shared" si="33"/>
        <v>2546925</v>
      </c>
      <c r="G140" s="174"/>
      <c r="H140" s="175"/>
      <c r="I140" s="89">
        <f t="shared" si="34"/>
        <v>0</v>
      </c>
      <c r="J140" s="90">
        <f t="shared" si="35"/>
        <v>0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1.25" customHeight="1">
      <c r="A141" s="240">
        <v>42411.0</v>
      </c>
      <c r="B141" s="241" t="s">
        <v>395</v>
      </c>
      <c r="C141" s="242" t="s">
        <v>30</v>
      </c>
      <c r="D141" s="243">
        <v>1.0</v>
      </c>
      <c r="E141" s="244">
        <f>+P.U!F4915</f>
        <v>1946775</v>
      </c>
      <c r="F141" s="84">
        <f t="shared" si="33"/>
        <v>1946775</v>
      </c>
      <c r="G141" s="174"/>
      <c r="H141" s="175"/>
      <c r="I141" s="89">
        <f t="shared" si="34"/>
        <v>0</v>
      </c>
      <c r="J141" s="90">
        <f t="shared" si="35"/>
        <v>0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1.25" customHeight="1">
      <c r="A142" s="132"/>
      <c r="B142" s="4"/>
      <c r="C142" s="135" t="s">
        <v>403</v>
      </c>
      <c r="D142" s="2"/>
      <c r="E142" s="4"/>
      <c r="F142" s="245">
        <f>SUM(F7:F141)</f>
        <v>498518585</v>
      </c>
      <c r="G142" s="246"/>
      <c r="H142" s="247"/>
      <c r="I142" s="247"/>
      <c r="J142" s="24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1.25" customHeight="1">
      <c r="A143" s="52">
        <v>3.0</v>
      </c>
      <c r="B143" s="143" t="s">
        <v>409</v>
      </c>
      <c r="C143" s="56"/>
      <c r="D143" s="56"/>
      <c r="E143" s="59"/>
      <c r="F143" s="56"/>
      <c r="G143" s="145"/>
      <c r="H143" s="146"/>
      <c r="I143" s="146"/>
      <c r="J143" s="249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1.25" customHeight="1">
      <c r="A144" s="77" t="s">
        <v>399</v>
      </c>
      <c r="B144" s="79" t="s">
        <v>400</v>
      </c>
      <c r="C144" s="80" t="s">
        <v>34</v>
      </c>
      <c r="D144" s="82">
        <v>1.0</v>
      </c>
      <c r="E144" s="83">
        <v>1200000.0</v>
      </c>
      <c r="F144" s="84">
        <f t="shared" ref="F144:F145" si="36">ROUND(D144*E144,0)</f>
        <v>1200000</v>
      </c>
      <c r="G144" s="174"/>
      <c r="H144" s="175"/>
      <c r="I144" s="89">
        <f t="shared" ref="I144:I145" si="37">G144*100%/D144</f>
        <v>0</v>
      </c>
      <c r="J144" s="90">
        <f t="shared" ref="J144:J145" si="38">I144*F144</f>
        <v>0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1.25" customHeight="1">
      <c r="A145" s="29" t="s">
        <v>402</v>
      </c>
      <c r="B145" s="251" t="s">
        <v>404</v>
      </c>
      <c r="C145" s="242" t="s">
        <v>109</v>
      </c>
      <c r="D145" s="243">
        <v>100.0</v>
      </c>
      <c r="E145" s="244">
        <v>32150.0</v>
      </c>
      <c r="F145" s="84">
        <f t="shared" si="36"/>
        <v>3215000</v>
      </c>
      <c r="G145" s="174"/>
      <c r="H145" s="175"/>
      <c r="I145" s="89">
        <f t="shared" si="37"/>
        <v>0</v>
      </c>
      <c r="J145" s="90">
        <f t="shared" si="38"/>
        <v>0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0" customHeight="1">
      <c r="A146" s="252"/>
      <c r="B146" s="117"/>
      <c r="C146" s="253"/>
      <c r="D146" s="254" t="s">
        <v>408</v>
      </c>
      <c r="E146" s="117"/>
      <c r="F146" s="255"/>
      <c r="G146" s="256"/>
      <c r="H146" s="257"/>
      <c r="I146" s="258"/>
      <c r="J146" s="259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0" customHeight="1">
      <c r="A147" s="260" t="s">
        <v>410</v>
      </c>
      <c r="B147" s="116"/>
      <c r="C147" s="117"/>
      <c r="D147" s="261"/>
      <c r="E147" s="17"/>
      <c r="F147" s="262">
        <f>ROUND(F142+F144+F145,0)</f>
        <v>502933585</v>
      </c>
      <c r="G147" s="263"/>
      <c r="H147" s="264"/>
      <c r="I147" s="265"/>
      <c r="J147" s="278">
        <f>SUM(J7:J145)</f>
        <v>33545325.12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0" customHeight="1">
      <c r="A148" s="267" t="s">
        <v>411</v>
      </c>
      <c r="B148" s="268"/>
      <c r="C148" s="269"/>
      <c r="D148" s="270">
        <v>0.15</v>
      </c>
      <c r="E148" s="271"/>
      <c r="F148" s="272">
        <f>ROUND(F147*D148,0)</f>
        <v>75440038</v>
      </c>
      <c r="G148" s="263"/>
      <c r="H148" s="175"/>
      <c r="I148" s="273"/>
      <c r="J148" s="284">
        <f>J147*0.15</f>
        <v>5031798.768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0" customHeight="1">
      <c r="A149" s="267" t="s">
        <v>412</v>
      </c>
      <c r="B149" s="268"/>
      <c r="C149" s="269"/>
      <c r="D149" s="270">
        <v>0.2</v>
      </c>
      <c r="E149" s="271"/>
      <c r="F149" s="272">
        <f>ROUND(F147*D149,0)</f>
        <v>100586717</v>
      </c>
      <c r="G149" s="263"/>
      <c r="H149" s="175"/>
      <c r="I149" s="275"/>
      <c r="J149" s="278">
        <f>J147*0.2</f>
        <v>6709065.024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0" customHeight="1">
      <c r="A150" s="267" t="s">
        <v>408</v>
      </c>
      <c r="B150" s="268"/>
      <c r="C150" s="269"/>
      <c r="D150" s="277" t="s">
        <v>413</v>
      </c>
      <c r="E150" s="271"/>
      <c r="F150" s="272">
        <f>ROUND(F147+F148+F149,0)</f>
        <v>678960340</v>
      </c>
      <c r="G150" s="263"/>
      <c r="H150" s="175"/>
      <c r="I150" s="275"/>
      <c r="J150" s="278">
        <f>J147+J148+J149</f>
        <v>45286188.91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1.25" customHeight="1">
      <c r="A151" s="267" t="s">
        <v>414</v>
      </c>
      <c r="B151" s="268"/>
      <c r="C151" s="269"/>
      <c r="D151" s="270">
        <v>0.19</v>
      </c>
      <c r="E151" s="271"/>
      <c r="F151" s="272">
        <f>ROUND(F150*D151,0)</f>
        <v>129002465</v>
      </c>
      <c r="G151" s="263"/>
      <c r="H151" s="175"/>
      <c r="I151" s="275"/>
      <c r="J151" s="278">
        <f>J150*0.19</f>
        <v>8604375.893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1.25" customHeight="1">
      <c r="A152" s="280" t="s">
        <v>37</v>
      </c>
      <c r="B152" s="281"/>
      <c r="C152" s="282"/>
      <c r="D152" s="283"/>
      <c r="E152" s="285"/>
      <c r="F152" s="286">
        <f>ROUND(F150+F151,0)</f>
        <v>807962805</v>
      </c>
      <c r="G152" s="263"/>
      <c r="H152" s="287">
        <f>J152/F152</f>
        <v>0.06669931397</v>
      </c>
      <c r="I152" s="275"/>
      <c r="J152" s="278">
        <f>J151+J150</f>
        <v>53890564.8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1.25" customHeight="1">
      <c r="A153" s="289"/>
      <c r="B153" s="289"/>
      <c r="C153" s="289"/>
      <c r="D153" s="289"/>
      <c r="E153" s="290"/>
      <c r="F153" s="289"/>
      <c r="H153" s="38"/>
      <c r="I153" s="23"/>
      <c r="J153" s="24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1.25" customHeight="1">
      <c r="A154" s="289"/>
      <c r="B154" s="289"/>
      <c r="C154" s="289"/>
      <c r="D154" s="289"/>
      <c r="E154" s="290"/>
      <c r="F154" s="289"/>
      <c r="H154" s="38"/>
      <c r="I154" s="23"/>
      <c r="J154" s="24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1.25" customHeight="1">
      <c r="A155" s="289"/>
      <c r="B155" s="289"/>
      <c r="C155" s="289"/>
      <c r="D155" s="289"/>
      <c r="E155" s="290"/>
      <c r="F155" s="289"/>
      <c r="H155" s="38"/>
      <c r="I155" s="23"/>
      <c r="J155" s="24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1.25" customHeight="1">
      <c r="A156" s="289"/>
      <c r="B156" s="289"/>
      <c r="C156" s="289"/>
      <c r="D156" s="289"/>
      <c r="E156" s="290"/>
      <c r="F156" s="289"/>
      <c r="H156" s="38"/>
      <c r="I156" s="23"/>
      <c r="J156" s="24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1.25" customHeight="1">
      <c r="A157" s="289"/>
      <c r="B157" s="289"/>
      <c r="C157" s="289"/>
      <c r="D157" s="289"/>
      <c r="E157" s="290"/>
      <c r="F157" s="289"/>
      <c r="H157" s="38"/>
      <c r="I157" s="23"/>
      <c r="J157" s="24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1.25" customHeight="1">
      <c r="A158" s="289"/>
      <c r="B158" s="289"/>
      <c r="C158" s="289"/>
      <c r="D158" s="289"/>
      <c r="E158" s="290"/>
      <c r="F158" s="289"/>
      <c r="H158" s="38"/>
      <c r="I158" s="23"/>
      <c r="J158" s="24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1.25" customHeight="1">
      <c r="A159" s="289"/>
      <c r="B159" s="289"/>
      <c r="C159" s="289"/>
      <c r="D159" s="289"/>
      <c r="E159" s="290"/>
      <c r="F159" s="289"/>
      <c r="H159" s="38"/>
      <c r="I159" s="23"/>
      <c r="J159" s="24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1.25" customHeight="1">
      <c r="A160" s="289"/>
      <c r="B160" s="289"/>
      <c r="C160" s="289"/>
      <c r="D160" s="289"/>
      <c r="E160" s="290"/>
      <c r="F160" s="289"/>
      <c r="H160" s="38"/>
      <c r="I160" s="23"/>
      <c r="J160" s="24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1.25" customHeight="1">
      <c r="A161" s="289"/>
      <c r="B161" s="289"/>
      <c r="C161" s="289"/>
      <c r="D161" s="289"/>
      <c r="E161" s="290"/>
      <c r="F161" s="289"/>
      <c r="H161" s="38"/>
      <c r="I161" s="23"/>
      <c r="J161" s="24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1.25" customHeight="1">
      <c r="A162" s="289"/>
      <c r="B162" s="291"/>
      <c r="C162" s="289"/>
      <c r="D162" s="289"/>
      <c r="E162" s="290"/>
      <c r="F162" s="289"/>
      <c r="H162" s="38"/>
      <c r="I162" s="23"/>
      <c r="J162" s="24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1.25" customHeight="1">
      <c r="A163" s="289"/>
      <c r="B163" s="291"/>
      <c r="C163" s="289"/>
      <c r="D163" s="289"/>
      <c r="E163" s="290"/>
      <c r="F163" s="289"/>
      <c r="H163" s="38"/>
      <c r="I163" s="23"/>
      <c r="J163" s="24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1.25" customHeight="1">
      <c r="A164" s="289"/>
      <c r="B164" s="291"/>
      <c r="C164" s="289"/>
      <c r="D164" s="289"/>
      <c r="E164" s="290"/>
      <c r="F164" s="289"/>
      <c r="H164" s="38"/>
      <c r="I164" s="23"/>
      <c r="J164" s="24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1.25" customHeight="1">
      <c r="A165" s="289"/>
      <c r="B165" s="289"/>
      <c r="C165" s="289"/>
      <c r="D165" s="289"/>
      <c r="E165" s="290"/>
      <c r="F165" s="289"/>
      <c r="H165" s="38"/>
      <c r="I165" s="23"/>
      <c r="J165" s="24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1.25" customHeight="1">
      <c r="A166" s="289"/>
      <c r="B166" s="289"/>
      <c r="C166" s="289"/>
      <c r="D166" s="289"/>
      <c r="E166" s="290"/>
      <c r="F166" s="289"/>
      <c r="H166" s="38"/>
      <c r="I166" s="23"/>
      <c r="J166" s="24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1.25" customHeight="1">
      <c r="A167" s="289"/>
      <c r="B167" s="289"/>
      <c r="C167" s="289"/>
      <c r="D167" s="289"/>
      <c r="E167" s="290"/>
      <c r="F167" s="289"/>
      <c r="H167" s="38"/>
      <c r="I167" s="23"/>
      <c r="J167" s="24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1.25" customHeight="1">
      <c r="A168" s="289"/>
      <c r="B168" s="289"/>
      <c r="C168" s="289"/>
      <c r="D168" s="289"/>
      <c r="E168" s="290"/>
      <c r="F168" s="289"/>
      <c r="H168" s="38"/>
      <c r="I168" s="23"/>
      <c r="J168" s="24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1.25" customHeight="1">
      <c r="A169" s="289"/>
      <c r="B169" s="289"/>
      <c r="C169" s="289"/>
      <c r="D169" s="289"/>
      <c r="E169" s="290"/>
      <c r="F169" s="289"/>
      <c r="H169" s="38"/>
      <c r="I169" s="23"/>
      <c r="J169" s="24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1.25" customHeight="1">
      <c r="A170" s="289"/>
      <c r="B170" s="289"/>
      <c r="C170" s="289"/>
      <c r="D170" s="289"/>
      <c r="E170" s="290"/>
      <c r="F170" s="289"/>
      <c r="H170" s="38"/>
      <c r="I170" s="23"/>
      <c r="J170" s="24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1.25" customHeight="1">
      <c r="A171" s="289"/>
      <c r="B171" s="289"/>
      <c r="C171" s="289"/>
      <c r="D171" s="289"/>
      <c r="E171" s="290"/>
      <c r="F171" s="289"/>
      <c r="H171" s="38"/>
      <c r="I171" s="23"/>
      <c r="J171" s="24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1.25" customHeight="1">
      <c r="A172" s="289"/>
      <c r="B172" s="289"/>
      <c r="C172" s="289"/>
      <c r="D172" s="289"/>
      <c r="E172" s="290"/>
      <c r="F172" s="289"/>
      <c r="H172" s="38"/>
      <c r="I172" s="23"/>
      <c r="J172" s="24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1.25" customHeight="1">
      <c r="A173" s="289"/>
      <c r="B173" s="289"/>
      <c r="C173" s="289"/>
      <c r="D173" s="289"/>
      <c r="E173" s="290"/>
      <c r="F173" s="289"/>
      <c r="H173" s="38"/>
      <c r="I173" s="23"/>
      <c r="J173" s="24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1.25" customHeight="1">
      <c r="A174" s="289"/>
      <c r="B174" s="289"/>
      <c r="C174" s="289"/>
      <c r="D174" s="289"/>
      <c r="E174" s="290"/>
      <c r="F174" s="289"/>
      <c r="H174" s="38"/>
      <c r="I174" s="23"/>
      <c r="J174" s="24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1.25" customHeight="1">
      <c r="A175" s="289"/>
      <c r="B175" s="289"/>
      <c r="C175" s="289"/>
      <c r="D175" s="289"/>
      <c r="E175" s="290"/>
      <c r="F175" s="289"/>
      <c r="H175" s="38"/>
      <c r="I175" s="23"/>
      <c r="J175" s="24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1.25" customHeight="1">
      <c r="A176" s="289"/>
      <c r="B176" s="289"/>
      <c r="C176" s="289"/>
      <c r="D176" s="289"/>
      <c r="E176" s="290"/>
      <c r="F176" s="289"/>
      <c r="H176" s="38"/>
      <c r="I176" s="23"/>
      <c r="J176" s="24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1.25" customHeight="1">
      <c r="A177" s="289"/>
      <c r="B177" s="289"/>
      <c r="C177" s="289"/>
      <c r="D177" s="289"/>
      <c r="E177" s="290"/>
      <c r="F177" s="289"/>
      <c r="H177" s="38"/>
      <c r="I177" s="23"/>
      <c r="J177" s="24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1.25" customHeight="1">
      <c r="A178" s="289"/>
      <c r="B178" s="289"/>
      <c r="C178" s="289"/>
      <c r="D178" s="289"/>
      <c r="E178" s="290"/>
      <c r="F178" s="289"/>
      <c r="H178" s="38"/>
      <c r="I178" s="23"/>
      <c r="J178" s="24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1.25" customHeight="1">
      <c r="A179" s="289"/>
      <c r="B179" s="289"/>
      <c r="C179" s="289"/>
      <c r="D179" s="289"/>
      <c r="E179" s="290"/>
      <c r="F179" s="289"/>
      <c r="H179" s="38"/>
      <c r="I179" s="23"/>
      <c r="J179" s="24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1.25" customHeight="1">
      <c r="A180" s="289"/>
      <c r="B180" s="289"/>
      <c r="C180" s="289"/>
      <c r="D180" s="289"/>
      <c r="E180" s="290"/>
      <c r="F180" s="289"/>
      <c r="H180" s="38"/>
      <c r="I180" s="23"/>
      <c r="J180" s="24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1.25" customHeight="1">
      <c r="A181" s="289"/>
      <c r="B181" s="289"/>
      <c r="C181" s="289"/>
      <c r="D181" s="289"/>
      <c r="E181" s="290"/>
      <c r="F181" s="289"/>
      <c r="H181" s="38"/>
      <c r="I181" s="23"/>
      <c r="J181" s="24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1.25" customHeight="1">
      <c r="A182" s="289"/>
      <c r="B182" s="289"/>
      <c r="C182" s="289"/>
      <c r="D182" s="289"/>
      <c r="E182" s="290"/>
      <c r="F182" s="289"/>
      <c r="H182" s="38"/>
      <c r="I182" s="23"/>
      <c r="J182" s="24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1.25" customHeight="1">
      <c r="A183" s="289"/>
      <c r="B183" s="289"/>
      <c r="C183" s="289"/>
      <c r="D183" s="289"/>
      <c r="E183" s="290"/>
      <c r="F183" s="289"/>
      <c r="H183" s="38"/>
      <c r="I183" s="23"/>
      <c r="J183" s="24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1.25" customHeight="1">
      <c r="A184" s="289"/>
      <c r="B184" s="289"/>
      <c r="C184" s="289"/>
      <c r="D184" s="289"/>
      <c r="E184" s="290"/>
      <c r="F184" s="289"/>
      <c r="H184" s="38"/>
      <c r="I184" s="23"/>
      <c r="J184" s="24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1.25" customHeight="1">
      <c r="A185" s="289"/>
      <c r="B185" s="289"/>
      <c r="C185" s="289"/>
      <c r="D185" s="289"/>
      <c r="E185" s="290"/>
      <c r="F185" s="289"/>
      <c r="H185" s="38"/>
      <c r="I185" s="23"/>
      <c r="J185" s="24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1.25" customHeight="1">
      <c r="A186" s="289"/>
      <c r="B186" s="289"/>
      <c r="C186" s="289"/>
      <c r="D186" s="289"/>
      <c r="E186" s="290"/>
      <c r="F186" s="289"/>
      <c r="H186" s="38"/>
      <c r="I186" s="23"/>
      <c r="J186" s="24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1.25" customHeight="1">
      <c r="A187" s="289"/>
      <c r="B187" s="289"/>
      <c r="C187" s="289"/>
      <c r="D187" s="289"/>
      <c r="E187" s="290"/>
      <c r="F187" s="289"/>
      <c r="H187" s="38"/>
      <c r="I187" s="23"/>
      <c r="J187" s="24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1.25" customHeight="1">
      <c r="A188" s="289"/>
      <c r="B188" s="289"/>
      <c r="C188" s="289"/>
      <c r="D188" s="289"/>
      <c r="E188" s="290"/>
      <c r="F188" s="289"/>
      <c r="H188" s="38"/>
      <c r="I188" s="23"/>
      <c r="J188" s="24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1.25" customHeight="1">
      <c r="A189" s="289"/>
      <c r="B189" s="289"/>
      <c r="C189" s="289"/>
      <c r="D189" s="289"/>
      <c r="E189" s="290"/>
      <c r="F189" s="289"/>
      <c r="H189" s="38"/>
      <c r="I189" s="23"/>
      <c r="J189" s="24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1.25" customHeight="1">
      <c r="A190" s="289"/>
      <c r="B190" s="289"/>
      <c r="C190" s="289"/>
      <c r="D190" s="289"/>
      <c r="E190" s="290"/>
      <c r="F190" s="289"/>
      <c r="H190" s="38"/>
      <c r="I190" s="23"/>
      <c r="J190" s="24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1.25" customHeight="1">
      <c r="A191" s="289"/>
      <c r="B191" s="289"/>
      <c r="C191" s="289"/>
      <c r="D191" s="289"/>
      <c r="E191" s="290"/>
      <c r="F191" s="289"/>
      <c r="H191" s="38"/>
      <c r="I191" s="23"/>
      <c r="J191" s="24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1.25" customHeight="1">
      <c r="A192" s="289"/>
      <c r="B192" s="289"/>
      <c r="C192" s="289"/>
      <c r="D192" s="289"/>
      <c r="E192" s="290"/>
      <c r="F192" s="289"/>
      <c r="H192" s="38"/>
      <c r="I192" s="23"/>
      <c r="J192" s="24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1.25" customHeight="1">
      <c r="A193" s="289"/>
      <c r="B193" s="289"/>
      <c r="C193" s="289"/>
      <c r="D193" s="289"/>
      <c r="E193" s="290"/>
      <c r="F193" s="289"/>
      <c r="H193" s="38"/>
      <c r="I193" s="23"/>
      <c r="J193" s="24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1.25" customHeight="1">
      <c r="A194" s="289"/>
      <c r="B194" s="289"/>
      <c r="C194" s="289"/>
      <c r="D194" s="289"/>
      <c r="E194" s="290"/>
      <c r="F194" s="289"/>
      <c r="H194" s="38"/>
      <c r="I194" s="23"/>
      <c r="J194" s="24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1.25" customHeight="1">
      <c r="A195" s="289"/>
      <c r="B195" s="289"/>
      <c r="C195" s="289"/>
      <c r="D195" s="289"/>
      <c r="E195" s="290"/>
      <c r="F195" s="289"/>
      <c r="H195" s="38"/>
      <c r="I195" s="23"/>
      <c r="J195" s="24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1.25" customHeight="1">
      <c r="A196" s="289"/>
      <c r="B196" s="289"/>
      <c r="C196" s="289"/>
      <c r="D196" s="289"/>
      <c r="E196" s="290"/>
      <c r="F196" s="289"/>
      <c r="H196" s="38"/>
      <c r="I196" s="23"/>
      <c r="J196" s="24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1.25" customHeight="1">
      <c r="A197" s="289"/>
      <c r="B197" s="289"/>
      <c r="C197" s="289"/>
      <c r="D197" s="289"/>
      <c r="E197" s="290"/>
      <c r="F197" s="289"/>
      <c r="H197" s="38"/>
      <c r="I197" s="23"/>
      <c r="J197" s="24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1.25" customHeight="1">
      <c r="A198" s="289"/>
      <c r="B198" s="289"/>
      <c r="C198" s="289"/>
      <c r="D198" s="289"/>
      <c r="E198" s="290"/>
      <c r="F198" s="289"/>
      <c r="H198" s="38"/>
      <c r="I198" s="23"/>
      <c r="J198" s="24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1.25" customHeight="1">
      <c r="A199" s="289"/>
      <c r="B199" s="289"/>
      <c r="C199" s="289"/>
      <c r="D199" s="289"/>
      <c r="E199" s="290"/>
      <c r="F199" s="289"/>
      <c r="H199" s="38"/>
      <c r="I199" s="23"/>
      <c r="J199" s="24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1.25" customHeight="1">
      <c r="A200" s="289"/>
      <c r="B200" s="289"/>
      <c r="C200" s="289"/>
      <c r="D200" s="289"/>
      <c r="E200" s="290"/>
      <c r="F200" s="289"/>
      <c r="H200" s="38"/>
      <c r="I200" s="23"/>
      <c r="J200" s="24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1.25" customHeight="1">
      <c r="A201" s="289"/>
      <c r="B201" s="289"/>
      <c r="C201" s="289"/>
      <c r="D201" s="289"/>
      <c r="E201" s="290"/>
      <c r="F201" s="289"/>
      <c r="H201" s="38"/>
      <c r="I201" s="23"/>
      <c r="J201" s="24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1.25" customHeight="1">
      <c r="A202" s="289"/>
      <c r="B202" s="289"/>
      <c r="C202" s="289"/>
      <c r="D202" s="289"/>
      <c r="E202" s="290"/>
      <c r="F202" s="289"/>
      <c r="H202" s="38"/>
      <c r="I202" s="23"/>
      <c r="J202" s="24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1.25" customHeight="1">
      <c r="A203" s="289"/>
      <c r="B203" s="289"/>
      <c r="C203" s="289"/>
      <c r="D203" s="289"/>
      <c r="E203" s="290"/>
      <c r="F203" s="289"/>
      <c r="H203" s="38"/>
      <c r="I203" s="23"/>
      <c r="J203" s="24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1.25" customHeight="1">
      <c r="A204" s="289"/>
      <c r="B204" s="289"/>
      <c r="C204" s="289"/>
      <c r="D204" s="289"/>
      <c r="E204" s="290"/>
      <c r="F204" s="289"/>
      <c r="H204" s="38"/>
      <c r="I204" s="23"/>
      <c r="J204" s="24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1.25" customHeight="1">
      <c r="A205" s="289"/>
      <c r="B205" s="289"/>
      <c r="C205" s="289"/>
      <c r="D205" s="289"/>
      <c r="E205" s="290"/>
      <c r="F205" s="289"/>
      <c r="H205" s="38"/>
      <c r="I205" s="23"/>
      <c r="J205" s="24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1.25" customHeight="1">
      <c r="A206" s="289"/>
      <c r="B206" s="289"/>
      <c r="C206" s="289"/>
      <c r="D206" s="289"/>
      <c r="E206" s="290"/>
      <c r="F206" s="289"/>
      <c r="H206" s="38"/>
      <c r="I206" s="23"/>
      <c r="J206" s="24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1.25" customHeight="1">
      <c r="A207" s="289"/>
      <c r="B207" s="289"/>
      <c r="C207" s="289"/>
      <c r="D207" s="289"/>
      <c r="E207" s="290"/>
      <c r="F207" s="289"/>
      <c r="H207" s="38"/>
      <c r="I207" s="23"/>
      <c r="J207" s="24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1.25" customHeight="1">
      <c r="A208" s="289"/>
      <c r="B208" s="289"/>
      <c r="C208" s="289"/>
      <c r="D208" s="289"/>
      <c r="E208" s="290"/>
      <c r="F208" s="289"/>
      <c r="H208" s="38"/>
      <c r="I208" s="23"/>
      <c r="J208" s="24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1.25" customHeight="1">
      <c r="A209" s="289"/>
      <c r="B209" s="289"/>
      <c r="C209" s="289"/>
      <c r="D209" s="289"/>
      <c r="E209" s="290"/>
      <c r="F209" s="289"/>
      <c r="H209" s="38"/>
      <c r="I209" s="23"/>
      <c r="J209" s="24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1.25" customHeight="1">
      <c r="A210" s="289"/>
      <c r="B210" s="289"/>
      <c r="C210" s="289"/>
      <c r="D210" s="289"/>
      <c r="E210" s="290"/>
      <c r="F210" s="289"/>
      <c r="H210" s="38"/>
      <c r="I210" s="23"/>
      <c r="J210" s="24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1.25" customHeight="1">
      <c r="A211" s="289"/>
      <c r="B211" s="289"/>
      <c r="C211" s="289"/>
      <c r="D211" s="289"/>
      <c r="E211" s="290"/>
      <c r="F211" s="289"/>
      <c r="H211" s="38"/>
      <c r="I211" s="23"/>
      <c r="J211" s="24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1.25" customHeight="1">
      <c r="A212" s="289"/>
      <c r="B212" s="289"/>
      <c r="C212" s="289"/>
      <c r="D212" s="289"/>
      <c r="E212" s="290"/>
      <c r="F212" s="289"/>
      <c r="H212" s="38"/>
      <c r="I212" s="23"/>
      <c r="J212" s="24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1.25" customHeight="1">
      <c r="A213" s="289"/>
      <c r="B213" s="289"/>
      <c r="C213" s="289"/>
      <c r="D213" s="289"/>
      <c r="E213" s="290"/>
      <c r="F213" s="289"/>
      <c r="H213" s="38"/>
      <c r="I213" s="23"/>
      <c r="J213" s="24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1.25" customHeight="1">
      <c r="A214" s="289"/>
      <c r="B214" s="289"/>
      <c r="C214" s="289"/>
      <c r="D214" s="289"/>
      <c r="E214" s="290"/>
      <c r="F214" s="289"/>
      <c r="H214" s="38"/>
      <c r="I214" s="23"/>
      <c r="J214" s="24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1.25" customHeight="1">
      <c r="A215" s="289"/>
      <c r="B215" s="289"/>
      <c r="C215" s="289"/>
      <c r="D215" s="289"/>
      <c r="E215" s="290"/>
      <c r="F215" s="289"/>
      <c r="H215" s="38"/>
      <c r="I215" s="23"/>
      <c r="J215" s="24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1.25" customHeight="1">
      <c r="A216" s="289"/>
      <c r="B216" s="289"/>
      <c r="C216" s="289"/>
      <c r="D216" s="289"/>
      <c r="E216" s="290"/>
      <c r="F216" s="289"/>
      <c r="H216" s="38"/>
      <c r="I216" s="23"/>
      <c r="J216" s="24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1.25" customHeight="1">
      <c r="A217" s="289"/>
      <c r="B217" s="289"/>
      <c r="C217" s="289"/>
      <c r="D217" s="289"/>
      <c r="E217" s="290"/>
      <c r="F217" s="289"/>
      <c r="H217" s="38"/>
      <c r="I217" s="23"/>
      <c r="J217" s="24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1.25" customHeight="1">
      <c r="A218" s="289"/>
      <c r="B218" s="289"/>
      <c r="C218" s="289"/>
      <c r="D218" s="289"/>
      <c r="E218" s="290"/>
      <c r="F218" s="289"/>
      <c r="H218" s="38"/>
      <c r="I218" s="23"/>
      <c r="J218" s="24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1.25" customHeight="1">
      <c r="A219" s="289"/>
      <c r="B219" s="289"/>
      <c r="C219" s="289"/>
      <c r="D219" s="289"/>
      <c r="E219" s="290"/>
      <c r="F219" s="289"/>
      <c r="H219" s="38"/>
      <c r="I219" s="23"/>
      <c r="J219" s="24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1.25" customHeight="1">
      <c r="A220" s="289"/>
      <c r="B220" s="289"/>
      <c r="C220" s="289"/>
      <c r="D220" s="289"/>
      <c r="E220" s="290"/>
      <c r="F220" s="289"/>
      <c r="H220" s="38"/>
      <c r="I220" s="23"/>
      <c r="J220" s="24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1.25" customHeight="1">
      <c r="A221" s="289"/>
      <c r="B221" s="289"/>
      <c r="C221" s="289"/>
      <c r="D221" s="289"/>
      <c r="E221" s="290"/>
      <c r="F221" s="289"/>
      <c r="H221" s="38"/>
      <c r="I221" s="23"/>
      <c r="J221" s="24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1.25" customHeight="1">
      <c r="A222" s="289"/>
      <c r="B222" s="289"/>
      <c r="C222" s="289"/>
      <c r="D222" s="289"/>
      <c r="E222" s="290"/>
      <c r="F222" s="289"/>
      <c r="H222" s="38"/>
      <c r="I222" s="23"/>
      <c r="J222" s="24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1.25" customHeight="1">
      <c r="A223" s="289"/>
      <c r="B223" s="289"/>
      <c r="C223" s="289"/>
      <c r="D223" s="289"/>
      <c r="E223" s="290"/>
      <c r="F223" s="289"/>
      <c r="H223" s="38"/>
      <c r="I223" s="23"/>
      <c r="J223" s="24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1.25" customHeight="1">
      <c r="A224" s="289"/>
      <c r="B224" s="289"/>
      <c r="C224" s="289"/>
      <c r="D224" s="289"/>
      <c r="E224" s="290"/>
      <c r="F224" s="289"/>
      <c r="H224" s="38"/>
      <c r="I224" s="23"/>
      <c r="J224" s="24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1.25" customHeight="1">
      <c r="A225" s="289"/>
      <c r="B225" s="289"/>
      <c r="C225" s="289"/>
      <c r="D225" s="289"/>
      <c r="E225" s="290"/>
      <c r="F225" s="289"/>
      <c r="H225" s="38"/>
      <c r="I225" s="23"/>
      <c r="J225" s="24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1.25" customHeight="1">
      <c r="A226" s="289"/>
      <c r="B226" s="289"/>
      <c r="C226" s="289"/>
      <c r="D226" s="289"/>
      <c r="E226" s="290"/>
      <c r="F226" s="289"/>
      <c r="H226" s="38"/>
      <c r="I226" s="23"/>
      <c r="J226" s="24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1.25" customHeight="1">
      <c r="A227" s="289"/>
      <c r="B227" s="289"/>
      <c r="C227" s="289"/>
      <c r="D227" s="289"/>
      <c r="E227" s="290"/>
      <c r="F227" s="289"/>
      <c r="H227" s="38"/>
      <c r="I227" s="23"/>
      <c r="J227" s="24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1.25" customHeight="1">
      <c r="A228" s="289"/>
      <c r="B228" s="289"/>
      <c r="C228" s="289"/>
      <c r="D228" s="289"/>
      <c r="E228" s="290"/>
      <c r="F228" s="289"/>
      <c r="H228" s="38"/>
      <c r="I228" s="23"/>
      <c r="J228" s="24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1.25" customHeight="1">
      <c r="A229" s="289"/>
      <c r="B229" s="289"/>
      <c r="C229" s="289"/>
      <c r="D229" s="289"/>
      <c r="E229" s="290"/>
      <c r="F229" s="289"/>
      <c r="H229" s="38"/>
      <c r="I229" s="23"/>
      <c r="J229" s="24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1.25" customHeight="1">
      <c r="A230" s="289"/>
      <c r="B230" s="289"/>
      <c r="C230" s="289"/>
      <c r="D230" s="289"/>
      <c r="E230" s="290"/>
      <c r="F230" s="289"/>
      <c r="H230" s="38"/>
      <c r="I230" s="23"/>
      <c r="J230" s="24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1.25" customHeight="1">
      <c r="A231" s="289"/>
      <c r="B231" s="289"/>
      <c r="C231" s="289"/>
      <c r="D231" s="289"/>
      <c r="E231" s="290"/>
      <c r="F231" s="289"/>
      <c r="H231" s="38"/>
      <c r="I231" s="23"/>
      <c r="J231" s="24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1.25" customHeight="1">
      <c r="A232" s="289"/>
      <c r="B232" s="289"/>
      <c r="C232" s="289"/>
      <c r="D232" s="289"/>
      <c r="E232" s="290"/>
      <c r="F232" s="289"/>
      <c r="H232" s="38"/>
      <c r="I232" s="23"/>
      <c r="J232" s="24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1.25" customHeight="1">
      <c r="A233" s="289"/>
      <c r="B233" s="289"/>
      <c r="C233" s="289"/>
      <c r="D233" s="289"/>
      <c r="E233" s="290"/>
      <c r="F233" s="289"/>
      <c r="H233" s="38"/>
      <c r="I233" s="23"/>
      <c r="J233" s="24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1.25" customHeight="1">
      <c r="A234" s="289"/>
      <c r="B234" s="289"/>
      <c r="C234" s="289"/>
      <c r="D234" s="289"/>
      <c r="E234" s="290"/>
      <c r="F234" s="289"/>
      <c r="H234" s="38"/>
      <c r="I234" s="23"/>
      <c r="J234" s="24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1.25" customHeight="1">
      <c r="A235" s="289"/>
      <c r="B235" s="289"/>
      <c r="C235" s="289"/>
      <c r="D235" s="289"/>
      <c r="E235" s="290"/>
      <c r="F235" s="289"/>
      <c r="H235" s="38"/>
      <c r="I235" s="23"/>
      <c r="J235" s="24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1.25" customHeight="1">
      <c r="A236" s="289"/>
      <c r="B236" s="289"/>
      <c r="C236" s="289"/>
      <c r="D236" s="289"/>
      <c r="E236" s="290"/>
      <c r="F236" s="289"/>
      <c r="H236" s="38"/>
      <c r="I236" s="23"/>
      <c r="J236" s="24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1.25" customHeight="1">
      <c r="A237" s="289"/>
      <c r="B237" s="289"/>
      <c r="C237" s="289"/>
      <c r="D237" s="289"/>
      <c r="E237" s="290"/>
      <c r="F237" s="289"/>
      <c r="H237" s="38"/>
      <c r="I237" s="23"/>
      <c r="J237" s="24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1.25" customHeight="1">
      <c r="A238" s="289"/>
      <c r="B238" s="289"/>
      <c r="C238" s="289"/>
      <c r="D238" s="289"/>
      <c r="E238" s="290"/>
      <c r="F238" s="289"/>
      <c r="H238" s="38"/>
      <c r="I238" s="23"/>
      <c r="J238" s="24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1.25" customHeight="1">
      <c r="A239" s="289"/>
      <c r="B239" s="289"/>
      <c r="C239" s="289"/>
      <c r="D239" s="289"/>
      <c r="E239" s="290"/>
      <c r="F239" s="289"/>
      <c r="H239" s="38"/>
      <c r="I239" s="23"/>
      <c r="J239" s="24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1.25" customHeight="1">
      <c r="A240" s="289"/>
      <c r="B240" s="289"/>
      <c r="C240" s="289"/>
      <c r="D240" s="289"/>
      <c r="E240" s="290"/>
      <c r="F240" s="289"/>
      <c r="H240" s="38"/>
      <c r="I240" s="23"/>
      <c r="J240" s="24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1.25" customHeight="1">
      <c r="A241" s="289"/>
      <c r="B241" s="289"/>
      <c r="C241" s="289"/>
      <c r="D241" s="289"/>
      <c r="E241" s="290"/>
      <c r="F241" s="289"/>
      <c r="H241" s="38"/>
      <c r="I241" s="23"/>
      <c r="J241" s="24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1.25" customHeight="1">
      <c r="A242" s="289"/>
      <c r="B242" s="289"/>
      <c r="C242" s="289"/>
      <c r="D242" s="289"/>
      <c r="E242" s="290"/>
      <c r="F242" s="289"/>
      <c r="H242" s="38"/>
      <c r="I242" s="23"/>
      <c r="J242" s="24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1.25" customHeight="1">
      <c r="A243" s="289"/>
      <c r="B243" s="289"/>
      <c r="C243" s="289"/>
      <c r="D243" s="289"/>
      <c r="E243" s="290"/>
      <c r="F243" s="289"/>
      <c r="H243" s="38"/>
      <c r="I243" s="23"/>
      <c r="J243" s="24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1.25" customHeight="1">
      <c r="A244" s="289"/>
      <c r="B244" s="289"/>
      <c r="C244" s="289"/>
      <c r="D244" s="289"/>
      <c r="E244" s="290"/>
      <c r="F244" s="289"/>
      <c r="H244" s="38"/>
      <c r="I244" s="23"/>
      <c r="J244" s="24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1.25" customHeight="1">
      <c r="A245" s="289"/>
      <c r="B245" s="289"/>
      <c r="C245" s="289"/>
      <c r="D245" s="289"/>
      <c r="E245" s="290"/>
      <c r="F245" s="289"/>
      <c r="H245" s="38"/>
      <c r="I245" s="23"/>
      <c r="J245" s="24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1.25" customHeight="1">
      <c r="A246" s="289"/>
      <c r="B246" s="289"/>
      <c r="C246" s="289"/>
      <c r="D246" s="289"/>
      <c r="E246" s="290"/>
      <c r="F246" s="289"/>
      <c r="H246" s="38"/>
      <c r="I246" s="23"/>
      <c r="J246" s="24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1.25" customHeight="1">
      <c r="A247" s="289"/>
      <c r="B247" s="289"/>
      <c r="C247" s="289"/>
      <c r="D247" s="289"/>
      <c r="E247" s="290"/>
      <c r="F247" s="289"/>
      <c r="H247" s="38"/>
      <c r="I247" s="23"/>
      <c r="J247" s="24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1.25" customHeight="1">
      <c r="A248" s="289"/>
      <c r="B248" s="289"/>
      <c r="C248" s="289"/>
      <c r="D248" s="289"/>
      <c r="E248" s="290"/>
      <c r="F248" s="289"/>
      <c r="H248" s="38"/>
      <c r="I248" s="23"/>
      <c r="J248" s="24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1.25" customHeight="1">
      <c r="A249" s="289"/>
      <c r="B249" s="289"/>
      <c r="C249" s="289"/>
      <c r="D249" s="289"/>
      <c r="E249" s="290"/>
      <c r="F249" s="289"/>
      <c r="H249" s="38"/>
      <c r="I249" s="23"/>
      <c r="J249" s="24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1.25" customHeight="1">
      <c r="A250" s="289"/>
      <c r="B250" s="289"/>
      <c r="C250" s="289"/>
      <c r="D250" s="289"/>
      <c r="E250" s="290"/>
      <c r="F250" s="289"/>
      <c r="H250" s="38"/>
      <c r="I250" s="23"/>
      <c r="J250" s="24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1.25" customHeight="1">
      <c r="A251" s="289"/>
      <c r="B251" s="289"/>
      <c r="C251" s="289"/>
      <c r="D251" s="289"/>
      <c r="E251" s="290"/>
      <c r="F251" s="289"/>
      <c r="H251" s="38"/>
      <c r="I251" s="23"/>
      <c r="J251" s="24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1.25" customHeight="1">
      <c r="A252" s="289"/>
      <c r="B252" s="289"/>
      <c r="C252" s="289"/>
      <c r="D252" s="289"/>
      <c r="E252" s="290"/>
      <c r="F252" s="289"/>
      <c r="H252" s="38"/>
      <c r="I252" s="23"/>
      <c r="J252" s="24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1.25" customHeight="1">
      <c r="A253" s="289"/>
      <c r="B253" s="289"/>
      <c r="C253" s="289"/>
      <c r="D253" s="289"/>
      <c r="E253" s="290"/>
      <c r="F253" s="289"/>
      <c r="H253" s="38"/>
      <c r="I253" s="23"/>
      <c r="J253" s="24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1.25" customHeight="1">
      <c r="A254" s="289"/>
      <c r="B254" s="289"/>
      <c r="C254" s="289"/>
      <c r="D254" s="289"/>
      <c r="E254" s="290"/>
      <c r="F254" s="289"/>
      <c r="H254" s="38"/>
      <c r="I254" s="23"/>
      <c r="J254" s="24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1.25" customHeight="1">
      <c r="A255" s="289"/>
      <c r="B255" s="289"/>
      <c r="C255" s="289"/>
      <c r="D255" s="289"/>
      <c r="E255" s="290"/>
      <c r="F255" s="289"/>
      <c r="H255" s="38"/>
      <c r="I255" s="23"/>
      <c r="J255" s="24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1.25" customHeight="1">
      <c r="A256" s="289"/>
      <c r="B256" s="289"/>
      <c r="C256" s="289"/>
      <c r="D256" s="289"/>
      <c r="E256" s="290"/>
      <c r="F256" s="289"/>
      <c r="H256" s="38"/>
      <c r="I256" s="23"/>
      <c r="J256" s="24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1.25" customHeight="1">
      <c r="A257" s="289"/>
      <c r="B257" s="289"/>
      <c r="C257" s="289"/>
      <c r="D257" s="289"/>
      <c r="E257" s="290"/>
      <c r="F257" s="289"/>
      <c r="H257" s="38"/>
      <c r="I257" s="23"/>
      <c r="J257" s="24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1.25" customHeight="1">
      <c r="A258" s="289"/>
      <c r="B258" s="289"/>
      <c r="C258" s="289"/>
      <c r="D258" s="289"/>
      <c r="E258" s="290"/>
      <c r="F258" s="289"/>
      <c r="H258" s="38"/>
      <c r="I258" s="23"/>
      <c r="J258" s="24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1.25" customHeight="1">
      <c r="A259" s="289"/>
      <c r="B259" s="289"/>
      <c r="C259" s="289"/>
      <c r="D259" s="289"/>
      <c r="E259" s="290"/>
      <c r="F259" s="289"/>
      <c r="H259" s="38"/>
      <c r="I259" s="23"/>
      <c r="J259" s="24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1.25" customHeight="1">
      <c r="A260" s="289"/>
      <c r="B260" s="289"/>
      <c r="C260" s="289"/>
      <c r="D260" s="289"/>
      <c r="E260" s="290"/>
      <c r="F260" s="289"/>
      <c r="H260" s="38"/>
      <c r="I260" s="23"/>
      <c r="J260" s="24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1.25" customHeight="1">
      <c r="A261" s="289"/>
      <c r="B261" s="289"/>
      <c r="C261" s="289"/>
      <c r="D261" s="289"/>
      <c r="E261" s="290"/>
      <c r="F261" s="289"/>
      <c r="H261" s="38"/>
      <c r="I261" s="23"/>
      <c r="J261" s="24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1.25" customHeight="1">
      <c r="A262" s="289"/>
      <c r="B262" s="289"/>
      <c r="C262" s="289"/>
      <c r="D262" s="289"/>
      <c r="E262" s="290"/>
      <c r="F262" s="289"/>
      <c r="H262" s="38"/>
      <c r="I262" s="23"/>
      <c r="J262" s="24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1.25" customHeight="1">
      <c r="A263" s="289"/>
      <c r="B263" s="289"/>
      <c r="C263" s="289"/>
      <c r="D263" s="289"/>
      <c r="E263" s="290"/>
      <c r="F263" s="289"/>
      <c r="H263" s="38"/>
      <c r="I263" s="23"/>
      <c r="J263" s="24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1.25" customHeight="1">
      <c r="A264" s="289"/>
      <c r="B264" s="289"/>
      <c r="C264" s="289"/>
      <c r="D264" s="289"/>
      <c r="E264" s="290"/>
      <c r="F264" s="289"/>
      <c r="H264" s="38"/>
      <c r="I264" s="23"/>
      <c r="J264" s="24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1.25" customHeight="1">
      <c r="A265" s="289"/>
      <c r="B265" s="289"/>
      <c r="C265" s="289"/>
      <c r="D265" s="289"/>
      <c r="E265" s="290"/>
      <c r="F265" s="289"/>
      <c r="H265" s="38"/>
      <c r="I265" s="23"/>
      <c r="J265" s="24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1.25" customHeight="1">
      <c r="A266" s="289"/>
      <c r="B266" s="289"/>
      <c r="C266" s="289"/>
      <c r="D266" s="289"/>
      <c r="E266" s="290"/>
      <c r="F266" s="289"/>
      <c r="H266" s="38"/>
      <c r="I266" s="23"/>
      <c r="J266" s="24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1.25" customHeight="1">
      <c r="A267" s="289"/>
      <c r="B267" s="289"/>
      <c r="C267" s="289"/>
      <c r="D267" s="289"/>
      <c r="E267" s="290"/>
      <c r="F267" s="289"/>
      <c r="H267" s="38"/>
      <c r="I267" s="23"/>
      <c r="J267" s="24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1.25" customHeight="1">
      <c r="A268" s="289"/>
      <c r="B268" s="289"/>
      <c r="C268" s="289"/>
      <c r="D268" s="289"/>
      <c r="E268" s="290"/>
      <c r="F268" s="289"/>
      <c r="H268" s="38"/>
      <c r="I268" s="23"/>
      <c r="J268" s="24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1.25" customHeight="1">
      <c r="A269" s="289"/>
      <c r="B269" s="289"/>
      <c r="C269" s="289"/>
      <c r="D269" s="289"/>
      <c r="E269" s="290"/>
      <c r="F269" s="289"/>
      <c r="H269" s="38"/>
      <c r="I269" s="23"/>
      <c r="J269" s="24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1.25" customHeight="1">
      <c r="A270" s="289"/>
      <c r="B270" s="289"/>
      <c r="C270" s="289"/>
      <c r="D270" s="289"/>
      <c r="E270" s="290"/>
      <c r="F270" s="289"/>
      <c r="H270" s="38"/>
      <c r="I270" s="23"/>
      <c r="J270" s="24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1.25" customHeight="1">
      <c r="A271" s="289"/>
      <c r="B271" s="289"/>
      <c r="C271" s="289"/>
      <c r="D271" s="289"/>
      <c r="E271" s="290"/>
      <c r="F271" s="289"/>
      <c r="H271" s="38"/>
      <c r="I271" s="23"/>
      <c r="J271" s="24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1.25" customHeight="1">
      <c r="A272" s="289"/>
      <c r="B272" s="289"/>
      <c r="C272" s="289"/>
      <c r="D272" s="289"/>
      <c r="E272" s="290"/>
      <c r="F272" s="289"/>
      <c r="H272" s="38"/>
      <c r="I272" s="23"/>
      <c r="J272" s="24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1.25" customHeight="1">
      <c r="A273" s="289"/>
      <c r="B273" s="289"/>
      <c r="C273" s="289"/>
      <c r="D273" s="289"/>
      <c r="E273" s="290"/>
      <c r="F273" s="289"/>
      <c r="H273" s="38"/>
      <c r="I273" s="23"/>
      <c r="J273" s="24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1.25" customHeight="1">
      <c r="A274" s="289"/>
      <c r="B274" s="289"/>
      <c r="C274" s="289"/>
      <c r="D274" s="289"/>
      <c r="E274" s="290"/>
      <c r="F274" s="289"/>
      <c r="H274" s="38"/>
      <c r="I274" s="23"/>
      <c r="J274" s="24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1.25" customHeight="1">
      <c r="A275" s="289"/>
      <c r="B275" s="289"/>
      <c r="C275" s="289"/>
      <c r="D275" s="289"/>
      <c r="E275" s="290"/>
      <c r="F275" s="289"/>
      <c r="H275" s="38"/>
      <c r="I275" s="23"/>
      <c r="J275" s="24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1.25" customHeight="1">
      <c r="A276" s="289"/>
      <c r="B276" s="289"/>
      <c r="C276" s="289"/>
      <c r="D276" s="289"/>
      <c r="E276" s="290"/>
      <c r="F276" s="289"/>
      <c r="H276" s="38"/>
      <c r="I276" s="23"/>
      <c r="J276" s="24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1.25" customHeight="1">
      <c r="A277" s="289"/>
      <c r="B277" s="289"/>
      <c r="C277" s="289"/>
      <c r="D277" s="289"/>
      <c r="E277" s="290"/>
      <c r="F277" s="289"/>
      <c r="H277" s="38"/>
      <c r="I277" s="23"/>
      <c r="J277" s="24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1.25" customHeight="1">
      <c r="A278" s="289"/>
      <c r="B278" s="289"/>
      <c r="C278" s="289"/>
      <c r="D278" s="289"/>
      <c r="E278" s="290"/>
      <c r="F278" s="289"/>
      <c r="H278" s="38"/>
      <c r="I278" s="23"/>
      <c r="J278" s="24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1.25" customHeight="1">
      <c r="A279" s="289"/>
      <c r="B279" s="289"/>
      <c r="C279" s="289"/>
      <c r="D279" s="289"/>
      <c r="E279" s="290"/>
      <c r="F279" s="289"/>
      <c r="H279" s="38"/>
      <c r="I279" s="23"/>
      <c r="J279" s="24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1.25" customHeight="1">
      <c r="A280" s="289"/>
      <c r="B280" s="289"/>
      <c r="C280" s="289"/>
      <c r="D280" s="289"/>
      <c r="E280" s="290"/>
      <c r="F280" s="289"/>
      <c r="H280" s="38"/>
      <c r="I280" s="23"/>
      <c r="J280" s="24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1.25" customHeight="1">
      <c r="A281" s="289"/>
      <c r="B281" s="289"/>
      <c r="C281" s="289"/>
      <c r="D281" s="289"/>
      <c r="E281" s="290"/>
      <c r="F281" s="289"/>
      <c r="H281" s="38"/>
      <c r="I281" s="23"/>
      <c r="J281" s="24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1.25" customHeight="1">
      <c r="A282" s="289"/>
      <c r="B282" s="289"/>
      <c r="C282" s="289"/>
      <c r="D282" s="289"/>
      <c r="E282" s="290"/>
      <c r="F282" s="289"/>
      <c r="H282" s="38"/>
      <c r="I282" s="23"/>
      <c r="J282" s="24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1.25" customHeight="1">
      <c r="A283" s="289"/>
      <c r="B283" s="289"/>
      <c r="C283" s="289"/>
      <c r="D283" s="289"/>
      <c r="E283" s="290"/>
      <c r="F283" s="289"/>
      <c r="H283" s="38"/>
      <c r="I283" s="23"/>
      <c r="J283" s="24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1.25" customHeight="1">
      <c r="A284" s="289"/>
      <c r="B284" s="289"/>
      <c r="C284" s="289"/>
      <c r="D284" s="289"/>
      <c r="E284" s="290"/>
      <c r="F284" s="289"/>
      <c r="H284" s="38"/>
      <c r="I284" s="23"/>
      <c r="J284" s="24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1.25" customHeight="1">
      <c r="A285" s="289"/>
      <c r="B285" s="289"/>
      <c r="C285" s="289"/>
      <c r="D285" s="289"/>
      <c r="E285" s="290"/>
      <c r="F285" s="289"/>
      <c r="H285" s="38"/>
      <c r="I285" s="23"/>
      <c r="J285" s="24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1.25" customHeight="1">
      <c r="A286" s="289"/>
      <c r="B286" s="289"/>
      <c r="C286" s="289"/>
      <c r="D286" s="289"/>
      <c r="E286" s="290"/>
      <c r="F286" s="289"/>
      <c r="H286" s="38"/>
      <c r="I286" s="23"/>
      <c r="J286" s="24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1.25" customHeight="1">
      <c r="A287" s="289"/>
      <c r="B287" s="289"/>
      <c r="C287" s="289"/>
      <c r="D287" s="289"/>
      <c r="E287" s="290"/>
      <c r="F287" s="289"/>
      <c r="H287" s="38"/>
      <c r="I287" s="23"/>
      <c r="J287" s="24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1.25" customHeight="1">
      <c r="A288" s="289"/>
      <c r="B288" s="289"/>
      <c r="C288" s="289"/>
      <c r="D288" s="289"/>
      <c r="E288" s="290"/>
      <c r="F288" s="289"/>
      <c r="H288" s="38"/>
      <c r="I288" s="23"/>
      <c r="J288" s="24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1.25" customHeight="1">
      <c r="A289" s="289"/>
      <c r="B289" s="289"/>
      <c r="C289" s="289"/>
      <c r="D289" s="289"/>
      <c r="E289" s="290"/>
      <c r="F289" s="289"/>
      <c r="H289" s="38"/>
      <c r="I289" s="23"/>
      <c r="J289" s="24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1.25" customHeight="1">
      <c r="A290" s="289"/>
      <c r="B290" s="289"/>
      <c r="C290" s="289"/>
      <c r="D290" s="289"/>
      <c r="E290" s="290"/>
      <c r="F290" s="289"/>
      <c r="H290" s="38"/>
      <c r="I290" s="23"/>
      <c r="J290" s="24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1.25" customHeight="1">
      <c r="A291" s="289"/>
      <c r="B291" s="289"/>
      <c r="C291" s="289"/>
      <c r="D291" s="289"/>
      <c r="E291" s="290"/>
      <c r="F291" s="289"/>
      <c r="H291" s="38"/>
      <c r="I291" s="23"/>
      <c r="J291" s="24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1.25" customHeight="1">
      <c r="A292" s="289"/>
      <c r="B292" s="289"/>
      <c r="C292" s="289"/>
      <c r="D292" s="289"/>
      <c r="E292" s="290"/>
      <c r="F292" s="289"/>
      <c r="H292" s="38"/>
      <c r="I292" s="23"/>
      <c r="J292" s="24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1.25" customHeight="1">
      <c r="A293" s="289"/>
      <c r="B293" s="289"/>
      <c r="C293" s="289"/>
      <c r="D293" s="289"/>
      <c r="E293" s="290"/>
      <c r="F293" s="289"/>
      <c r="H293" s="38"/>
      <c r="I293" s="23"/>
      <c r="J293" s="24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1.25" customHeight="1">
      <c r="A294" s="289"/>
      <c r="B294" s="289"/>
      <c r="C294" s="289"/>
      <c r="D294" s="289"/>
      <c r="E294" s="290"/>
      <c r="F294" s="289"/>
      <c r="H294" s="38"/>
      <c r="I294" s="23"/>
      <c r="J294" s="24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1.25" customHeight="1">
      <c r="A295" s="289"/>
      <c r="B295" s="289"/>
      <c r="C295" s="289"/>
      <c r="D295" s="289"/>
      <c r="E295" s="290"/>
      <c r="F295" s="289"/>
      <c r="H295" s="38"/>
      <c r="I295" s="23"/>
      <c r="J295" s="24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1.25" customHeight="1">
      <c r="A296" s="289"/>
      <c r="B296" s="289"/>
      <c r="C296" s="289"/>
      <c r="D296" s="289"/>
      <c r="E296" s="290"/>
      <c r="F296" s="289"/>
      <c r="H296" s="38"/>
      <c r="I296" s="23"/>
      <c r="J296" s="24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1.25" customHeight="1">
      <c r="A297" s="289"/>
      <c r="B297" s="289"/>
      <c r="C297" s="289"/>
      <c r="D297" s="289"/>
      <c r="E297" s="290"/>
      <c r="F297" s="289"/>
      <c r="H297" s="38"/>
      <c r="I297" s="23"/>
      <c r="J297" s="24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1.25" customHeight="1">
      <c r="A298" s="289"/>
      <c r="B298" s="289"/>
      <c r="C298" s="289"/>
      <c r="D298" s="289"/>
      <c r="E298" s="290"/>
      <c r="F298" s="289"/>
      <c r="H298" s="38"/>
      <c r="I298" s="23"/>
      <c r="J298" s="24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1.25" customHeight="1">
      <c r="A299" s="289"/>
      <c r="B299" s="289"/>
      <c r="C299" s="289"/>
      <c r="D299" s="289"/>
      <c r="E299" s="290"/>
      <c r="F299" s="289"/>
      <c r="H299" s="38"/>
      <c r="I299" s="23"/>
      <c r="J299" s="24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1.25" customHeight="1">
      <c r="A300" s="289"/>
      <c r="B300" s="289"/>
      <c r="C300" s="289"/>
      <c r="D300" s="289"/>
      <c r="E300" s="290"/>
      <c r="F300" s="289"/>
      <c r="H300" s="38"/>
      <c r="I300" s="23"/>
      <c r="J300" s="24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1.25" customHeight="1">
      <c r="A301" s="289"/>
      <c r="B301" s="289"/>
      <c r="C301" s="289"/>
      <c r="D301" s="289"/>
      <c r="E301" s="290"/>
      <c r="F301" s="289"/>
      <c r="H301" s="38"/>
      <c r="I301" s="23"/>
      <c r="J301" s="24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1.25" customHeight="1">
      <c r="A302" s="289"/>
      <c r="B302" s="289"/>
      <c r="C302" s="289"/>
      <c r="D302" s="289"/>
      <c r="E302" s="290"/>
      <c r="F302" s="289"/>
      <c r="H302" s="38"/>
      <c r="I302" s="23"/>
      <c r="J302" s="24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1.25" customHeight="1">
      <c r="A303" s="289"/>
      <c r="B303" s="289"/>
      <c r="C303" s="289"/>
      <c r="D303" s="289"/>
      <c r="E303" s="290"/>
      <c r="F303" s="289"/>
      <c r="H303" s="38"/>
      <c r="I303" s="23"/>
      <c r="J303" s="24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1.25" customHeight="1">
      <c r="A304" s="289"/>
      <c r="B304" s="289"/>
      <c r="C304" s="289"/>
      <c r="D304" s="289"/>
      <c r="E304" s="290"/>
      <c r="F304" s="289"/>
      <c r="H304" s="38"/>
      <c r="I304" s="23"/>
      <c r="J304" s="24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1.25" customHeight="1">
      <c r="A305" s="289"/>
      <c r="B305" s="289"/>
      <c r="C305" s="289"/>
      <c r="D305" s="289"/>
      <c r="E305" s="290"/>
      <c r="F305" s="289"/>
      <c r="H305" s="38"/>
      <c r="I305" s="23"/>
      <c r="J305" s="24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1.25" customHeight="1">
      <c r="A306" s="289"/>
      <c r="B306" s="289"/>
      <c r="C306" s="289"/>
      <c r="D306" s="289"/>
      <c r="E306" s="290"/>
      <c r="F306" s="289"/>
      <c r="H306" s="38"/>
      <c r="I306" s="23"/>
      <c r="J306" s="24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1.25" customHeight="1">
      <c r="A307" s="289"/>
      <c r="B307" s="289"/>
      <c r="C307" s="289"/>
      <c r="D307" s="289"/>
      <c r="E307" s="290"/>
      <c r="F307" s="289"/>
      <c r="H307" s="38"/>
      <c r="I307" s="23"/>
      <c r="J307" s="24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1.25" customHeight="1">
      <c r="A308" s="289"/>
      <c r="B308" s="289"/>
      <c r="C308" s="289"/>
      <c r="D308" s="289"/>
      <c r="E308" s="290"/>
      <c r="F308" s="289"/>
      <c r="H308" s="38"/>
      <c r="I308" s="23"/>
      <c r="J308" s="24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1.25" customHeight="1">
      <c r="A309" s="289"/>
      <c r="B309" s="289"/>
      <c r="C309" s="289"/>
      <c r="D309" s="289"/>
      <c r="E309" s="290"/>
      <c r="F309" s="289"/>
      <c r="H309" s="38"/>
      <c r="I309" s="23"/>
      <c r="J309" s="24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1.25" customHeight="1">
      <c r="A310" s="289"/>
      <c r="B310" s="289"/>
      <c r="C310" s="289"/>
      <c r="D310" s="289"/>
      <c r="E310" s="290"/>
      <c r="F310" s="289"/>
      <c r="H310" s="38"/>
      <c r="I310" s="23"/>
      <c r="J310" s="24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1.25" customHeight="1">
      <c r="A311" s="289"/>
      <c r="B311" s="289"/>
      <c r="C311" s="289"/>
      <c r="D311" s="289"/>
      <c r="E311" s="290"/>
      <c r="F311" s="289"/>
      <c r="H311" s="38"/>
      <c r="I311" s="23"/>
      <c r="J311" s="24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1.25" customHeight="1">
      <c r="A312" s="289"/>
      <c r="B312" s="289"/>
      <c r="C312" s="289"/>
      <c r="D312" s="289"/>
      <c r="E312" s="290"/>
      <c r="F312" s="289"/>
      <c r="H312" s="38"/>
      <c r="I312" s="23"/>
      <c r="J312" s="24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1.25" customHeight="1">
      <c r="A313" s="289"/>
      <c r="B313" s="289"/>
      <c r="C313" s="289"/>
      <c r="D313" s="289"/>
      <c r="E313" s="290"/>
      <c r="F313" s="289"/>
      <c r="H313" s="38"/>
      <c r="I313" s="23"/>
      <c r="J313" s="24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1.25" customHeight="1">
      <c r="A314" s="289"/>
      <c r="B314" s="289"/>
      <c r="C314" s="289"/>
      <c r="D314" s="289"/>
      <c r="E314" s="290"/>
      <c r="F314" s="289"/>
      <c r="H314" s="38"/>
      <c r="I314" s="23"/>
      <c r="J314" s="24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1.25" customHeight="1">
      <c r="A315" s="289"/>
      <c r="B315" s="289"/>
      <c r="C315" s="289"/>
      <c r="D315" s="289"/>
      <c r="E315" s="290"/>
      <c r="F315" s="289"/>
      <c r="H315" s="38"/>
      <c r="I315" s="23"/>
      <c r="J315" s="24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1.25" customHeight="1">
      <c r="A316" s="289"/>
      <c r="B316" s="289"/>
      <c r="C316" s="289"/>
      <c r="D316" s="289"/>
      <c r="E316" s="290"/>
      <c r="F316" s="289"/>
      <c r="H316" s="38"/>
      <c r="I316" s="23"/>
      <c r="J316" s="24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1.25" customHeight="1">
      <c r="A317" s="289"/>
      <c r="B317" s="289"/>
      <c r="C317" s="289"/>
      <c r="D317" s="289"/>
      <c r="E317" s="290"/>
      <c r="F317" s="289"/>
      <c r="H317" s="38"/>
      <c r="I317" s="23"/>
      <c r="J317" s="24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1.25" customHeight="1">
      <c r="A318" s="289"/>
      <c r="B318" s="289"/>
      <c r="C318" s="289"/>
      <c r="D318" s="289"/>
      <c r="E318" s="290"/>
      <c r="F318" s="289"/>
      <c r="H318" s="38"/>
      <c r="I318" s="23"/>
      <c r="J318" s="24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1.25" customHeight="1">
      <c r="A319" s="289"/>
      <c r="B319" s="289"/>
      <c r="C319" s="289"/>
      <c r="D319" s="289"/>
      <c r="E319" s="290"/>
      <c r="F319" s="289"/>
      <c r="H319" s="38"/>
      <c r="I319" s="23"/>
      <c r="J319" s="24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1.25" customHeight="1">
      <c r="A320" s="289"/>
      <c r="B320" s="289"/>
      <c r="C320" s="289"/>
      <c r="D320" s="289"/>
      <c r="E320" s="290"/>
      <c r="F320" s="289"/>
      <c r="H320" s="38"/>
      <c r="I320" s="23"/>
      <c r="J320" s="24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1.25" customHeight="1">
      <c r="A321" s="289"/>
      <c r="B321" s="289"/>
      <c r="C321" s="289"/>
      <c r="D321" s="289"/>
      <c r="E321" s="290"/>
      <c r="F321" s="289"/>
      <c r="H321" s="38"/>
      <c r="I321" s="23"/>
      <c r="J321" s="24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1.25" customHeight="1">
      <c r="A322" s="289"/>
      <c r="B322" s="289"/>
      <c r="C322" s="289"/>
      <c r="D322" s="289"/>
      <c r="E322" s="290"/>
      <c r="F322" s="289"/>
      <c r="H322" s="38"/>
      <c r="I322" s="23"/>
      <c r="J322" s="24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1.25" customHeight="1">
      <c r="A323" s="289"/>
      <c r="B323" s="289"/>
      <c r="C323" s="289"/>
      <c r="D323" s="289"/>
      <c r="E323" s="290"/>
      <c r="F323" s="289"/>
      <c r="H323" s="38"/>
      <c r="I323" s="23"/>
      <c r="J323" s="24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1.25" customHeight="1">
      <c r="A324" s="289"/>
      <c r="B324" s="289"/>
      <c r="C324" s="289"/>
      <c r="D324" s="289"/>
      <c r="E324" s="290"/>
      <c r="F324" s="289"/>
      <c r="H324" s="38"/>
      <c r="I324" s="23"/>
      <c r="J324" s="24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1.25" customHeight="1">
      <c r="A325" s="289"/>
      <c r="B325" s="289"/>
      <c r="C325" s="289"/>
      <c r="D325" s="289"/>
      <c r="E325" s="290"/>
      <c r="F325" s="289"/>
      <c r="H325" s="38"/>
      <c r="I325" s="23"/>
      <c r="J325" s="24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1.25" customHeight="1">
      <c r="A326" s="289"/>
      <c r="B326" s="289"/>
      <c r="C326" s="289"/>
      <c r="D326" s="289"/>
      <c r="E326" s="290"/>
      <c r="F326" s="289"/>
      <c r="H326" s="38"/>
      <c r="I326" s="23"/>
      <c r="J326" s="24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1.25" customHeight="1">
      <c r="A327" s="289"/>
      <c r="B327" s="289"/>
      <c r="C327" s="289"/>
      <c r="D327" s="289"/>
      <c r="E327" s="290"/>
      <c r="F327" s="289"/>
      <c r="H327" s="38"/>
      <c r="I327" s="23"/>
      <c r="J327" s="24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1.25" customHeight="1">
      <c r="A328" s="289"/>
      <c r="B328" s="289"/>
      <c r="C328" s="289"/>
      <c r="D328" s="289"/>
      <c r="E328" s="290"/>
      <c r="F328" s="289"/>
      <c r="H328" s="38"/>
      <c r="I328" s="23"/>
      <c r="J328" s="24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1.25" customHeight="1">
      <c r="A329" s="289"/>
      <c r="B329" s="289"/>
      <c r="C329" s="289"/>
      <c r="D329" s="289"/>
      <c r="E329" s="290"/>
      <c r="F329" s="289"/>
      <c r="H329" s="38"/>
      <c r="I329" s="23"/>
      <c r="J329" s="24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1.25" customHeight="1">
      <c r="A330" s="289"/>
      <c r="B330" s="289"/>
      <c r="C330" s="289"/>
      <c r="D330" s="289"/>
      <c r="E330" s="290"/>
      <c r="F330" s="289"/>
      <c r="H330" s="38"/>
      <c r="I330" s="23"/>
      <c r="J330" s="24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1.25" customHeight="1">
      <c r="A331" s="289"/>
      <c r="B331" s="289"/>
      <c r="C331" s="289"/>
      <c r="D331" s="289"/>
      <c r="E331" s="290"/>
      <c r="F331" s="289"/>
      <c r="H331" s="38"/>
      <c r="I331" s="23"/>
      <c r="J331" s="24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1.25" customHeight="1">
      <c r="A332" s="289"/>
      <c r="B332" s="289"/>
      <c r="C332" s="289"/>
      <c r="D332" s="289"/>
      <c r="E332" s="290"/>
      <c r="F332" s="289"/>
      <c r="H332" s="38"/>
      <c r="I332" s="23"/>
      <c r="J332" s="24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1.25" customHeight="1">
      <c r="A333" s="289"/>
      <c r="B333" s="289"/>
      <c r="C333" s="289"/>
      <c r="D333" s="289"/>
      <c r="E333" s="290"/>
      <c r="F333" s="289"/>
      <c r="H333" s="38"/>
      <c r="I333" s="23"/>
      <c r="J333" s="24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1.25" customHeight="1">
      <c r="A334" s="289"/>
      <c r="B334" s="289"/>
      <c r="C334" s="289"/>
      <c r="D334" s="289"/>
      <c r="E334" s="290"/>
      <c r="F334" s="289"/>
      <c r="H334" s="38"/>
      <c r="I334" s="23"/>
      <c r="J334" s="24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1.25" customHeight="1">
      <c r="A335" s="289"/>
      <c r="B335" s="289"/>
      <c r="C335" s="289"/>
      <c r="D335" s="289"/>
      <c r="E335" s="290"/>
      <c r="F335" s="289"/>
      <c r="H335" s="38"/>
      <c r="I335" s="23"/>
      <c r="J335" s="24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1.25" customHeight="1">
      <c r="A336" s="289"/>
      <c r="B336" s="289"/>
      <c r="C336" s="289"/>
      <c r="D336" s="289"/>
      <c r="E336" s="290"/>
      <c r="F336" s="289"/>
      <c r="H336" s="38"/>
      <c r="I336" s="23"/>
      <c r="J336" s="24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1.25" customHeight="1">
      <c r="A337" s="289"/>
      <c r="B337" s="289"/>
      <c r="C337" s="289"/>
      <c r="D337" s="289"/>
      <c r="E337" s="290"/>
      <c r="F337" s="289"/>
      <c r="H337" s="38"/>
      <c r="I337" s="23"/>
      <c r="J337" s="24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1.25" customHeight="1">
      <c r="A338" s="289"/>
      <c r="B338" s="289"/>
      <c r="C338" s="289"/>
      <c r="D338" s="289"/>
      <c r="E338" s="290"/>
      <c r="F338" s="289"/>
      <c r="H338" s="38"/>
      <c r="I338" s="23"/>
      <c r="J338" s="24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1.25" customHeight="1">
      <c r="A339" s="289"/>
      <c r="B339" s="289"/>
      <c r="C339" s="289"/>
      <c r="D339" s="289"/>
      <c r="E339" s="290"/>
      <c r="F339" s="289"/>
      <c r="H339" s="38"/>
      <c r="I339" s="23"/>
      <c r="J339" s="24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1.25" customHeight="1">
      <c r="A340" s="289"/>
      <c r="B340" s="289"/>
      <c r="C340" s="289"/>
      <c r="D340" s="289"/>
      <c r="E340" s="290"/>
      <c r="F340" s="289"/>
      <c r="H340" s="38"/>
      <c r="I340" s="23"/>
      <c r="J340" s="24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1.25" customHeight="1">
      <c r="A341" s="289"/>
      <c r="B341" s="289"/>
      <c r="C341" s="289"/>
      <c r="D341" s="289"/>
      <c r="E341" s="290"/>
      <c r="F341" s="289"/>
      <c r="H341" s="38"/>
      <c r="I341" s="23"/>
      <c r="J341" s="24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1.25" customHeight="1">
      <c r="A342" s="289"/>
      <c r="B342" s="289"/>
      <c r="C342" s="289"/>
      <c r="D342" s="289"/>
      <c r="E342" s="290"/>
      <c r="F342" s="289"/>
      <c r="H342" s="38"/>
      <c r="I342" s="23"/>
      <c r="J342" s="24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1.25" customHeight="1">
      <c r="A343" s="289"/>
      <c r="B343" s="289"/>
      <c r="C343" s="289"/>
      <c r="D343" s="289"/>
      <c r="E343" s="290"/>
      <c r="F343" s="289"/>
      <c r="H343" s="38"/>
      <c r="I343" s="23"/>
      <c r="J343" s="24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1.25" customHeight="1">
      <c r="A344" s="289"/>
      <c r="B344" s="289"/>
      <c r="C344" s="289"/>
      <c r="D344" s="289"/>
      <c r="E344" s="290"/>
      <c r="F344" s="289"/>
      <c r="H344" s="38"/>
      <c r="I344" s="23"/>
      <c r="J344" s="24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1.25" customHeight="1">
      <c r="A345" s="289"/>
      <c r="B345" s="289"/>
      <c r="C345" s="289"/>
      <c r="D345" s="289"/>
      <c r="E345" s="290"/>
      <c r="F345" s="289"/>
      <c r="H345" s="38"/>
      <c r="I345" s="23"/>
      <c r="J345" s="24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1.25" customHeight="1">
      <c r="A346" s="289"/>
      <c r="B346" s="289"/>
      <c r="C346" s="289"/>
      <c r="D346" s="289"/>
      <c r="E346" s="290"/>
      <c r="F346" s="289"/>
      <c r="H346" s="38"/>
      <c r="I346" s="23"/>
      <c r="J346" s="24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1.25" customHeight="1">
      <c r="A347" s="289"/>
      <c r="B347" s="289"/>
      <c r="C347" s="289"/>
      <c r="D347" s="289"/>
      <c r="E347" s="290"/>
      <c r="F347" s="289"/>
      <c r="H347" s="38"/>
      <c r="I347" s="23"/>
      <c r="J347" s="24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1.25" customHeight="1">
      <c r="A348" s="289"/>
      <c r="B348" s="289"/>
      <c r="C348" s="289"/>
      <c r="D348" s="289"/>
      <c r="E348" s="290"/>
      <c r="F348" s="289"/>
      <c r="H348" s="38"/>
      <c r="I348" s="23"/>
      <c r="J348" s="24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1.25" customHeight="1">
      <c r="A349" s="289"/>
      <c r="B349" s="289"/>
      <c r="C349" s="289"/>
      <c r="D349" s="289"/>
      <c r="E349" s="290"/>
      <c r="F349" s="289"/>
      <c r="H349" s="38"/>
      <c r="I349" s="23"/>
      <c r="J349" s="24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1.25" customHeight="1">
      <c r="A350" s="289"/>
      <c r="B350" s="289"/>
      <c r="C350" s="289"/>
      <c r="D350" s="289"/>
      <c r="E350" s="290"/>
      <c r="F350" s="289"/>
      <c r="H350" s="38"/>
      <c r="I350" s="23"/>
      <c r="J350" s="24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1.25" customHeight="1">
      <c r="A351" s="289"/>
      <c r="B351" s="289"/>
      <c r="C351" s="289"/>
      <c r="D351" s="289"/>
      <c r="E351" s="290"/>
      <c r="F351" s="289"/>
      <c r="H351" s="38"/>
      <c r="I351" s="23"/>
      <c r="J351" s="24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1.25" customHeight="1">
      <c r="A352" s="289"/>
      <c r="B352" s="289"/>
      <c r="C352" s="289"/>
      <c r="D352" s="289"/>
      <c r="E352" s="290"/>
      <c r="F352" s="289"/>
      <c r="H352" s="38"/>
      <c r="I352" s="23"/>
      <c r="J352" s="24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1.25" customHeight="1">
      <c r="A353" s="289"/>
      <c r="B353" s="289"/>
      <c r="C353" s="289"/>
      <c r="D353" s="289"/>
      <c r="E353" s="290"/>
      <c r="F353" s="289"/>
      <c r="H353" s="38"/>
      <c r="I353" s="23"/>
      <c r="J353" s="24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1.25" customHeight="1">
      <c r="A354" s="289"/>
      <c r="B354" s="289"/>
      <c r="C354" s="289"/>
      <c r="D354" s="289"/>
      <c r="E354" s="290"/>
      <c r="F354" s="289"/>
      <c r="H354" s="38"/>
      <c r="I354" s="23"/>
      <c r="J354" s="24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1.25" customHeight="1">
      <c r="A355" s="289"/>
      <c r="B355" s="289"/>
      <c r="C355" s="289"/>
      <c r="D355" s="289"/>
      <c r="E355" s="290"/>
      <c r="F355" s="289"/>
      <c r="H355" s="38"/>
      <c r="I355" s="23"/>
      <c r="J355" s="24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1.25" customHeight="1">
      <c r="A356" s="289"/>
      <c r="B356" s="289"/>
      <c r="C356" s="289"/>
      <c r="D356" s="289"/>
      <c r="E356" s="290"/>
      <c r="F356" s="289"/>
      <c r="H356" s="38"/>
      <c r="I356" s="23"/>
      <c r="J356" s="24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1.25" customHeight="1">
      <c r="A357" s="289"/>
      <c r="B357" s="289"/>
      <c r="C357" s="289"/>
      <c r="D357" s="289"/>
      <c r="E357" s="290"/>
      <c r="F357" s="289"/>
      <c r="H357" s="38"/>
      <c r="I357" s="23"/>
      <c r="J357" s="24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1.25" customHeight="1">
      <c r="A358" s="289"/>
      <c r="B358" s="289"/>
      <c r="C358" s="289"/>
      <c r="D358" s="289"/>
      <c r="E358" s="290"/>
      <c r="F358" s="289"/>
      <c r="H358" s="38"/>
      <c r="I358" s="23"/>
      <c r="J358" s="24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1.25" customHeight="1">
      <c r="A359" s="289"/>
      <c r="B359" s="289"/>
      <c r="C359" s="289"/>
      <c r="D359" s="289"/>
      <c r="E359" s="290"/>
      <c r="F359" s="289"/>
      <c r="H359" s="38"/>
      <c r="I359" s="23"/>
      <c r="J359" s="24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1.25" customHeight="1">
      <c r="A360" s="289"/>
      <c r="B360" s="289"/>
      <c r="C360" s="289"/>
      <c r="D360" s="289"/>
      <c r="E360" s="290"/>
      <c r="F360" s="289"/>
      <c r="H360" s="38"/>
      <c r="I360" s="23"/>
      <c r="J360" s="24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1.25" customHeight="1">
      <c r="A361" s="289"/>
      <c r="B361" s="289"/>
      <c r="C361" s="289"/>
      <c r="D361" s="289"/>
      <c r="E361" s="290"/>
      <c r="F361" s="289"/>
      <c r="H361" s="38"/>
      <c r="I361" s="23"/>
      <c r="J361" s="24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1.25" customHeight="1">
      <c r="A362" s="289"/>
      <c r="B362" s="289"/>
      <c r="C362" s="289"/>
      <c r="D362" s="289"/>
      <c r="E362" s="290"/>
      <c r="F362" s="289"/>
      <c r="H362" s="38"/>
      <c r="I362" s="23"/>
      <c r="J362" s="24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1.25" customHeight="1">
      <c r="A363" s="289"/>
      <c r="B363" s="289"/>
      <c r="C363" s="289"/>
      <c r="D363" s="289"/>
      <c r="E363" s="290"/>
      <c r="F363" s="289"/>
      <c r="H363" s="38"/>
      <c r="I363" s="23"/>
      <c r="J363" s="24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1.25" customHeight="1">
      <c r="A364" s="289"/>
      <c r="B364" s="289"/>
      <c r="C364" s="289"/>
      <c r="D364" s="289"/>
      <c r="E364" s="290"/>
      <c r="F364" s="289"/>
      <c r="H364" s="38"/>
      <c r="I364" s="23"/>
      <c r="J364" s="24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1.25" customHeight="1">
      <c r="A365" s="289"/>
      <c r="B365" s="289"/>
      <c r="C365" s="289"/>
      <c r="D365" s="289"/>
      <c r="E365" s="290"/>
      <c r="F365" s="289"/>
      <c r="H365" s="38"/>
      <c r="I365" s="23"/>
      <c r="J365" s="24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1.25" customHeight="1">
      <c r="A366" s="289"/>
      <c r="B366" s="289"/>
      <c r="C366" s="289"/>
      <c r="D366" s="289"/>
      <c r="E366" s="290"/>
      <c r="F366" s="289"/>
      <c r="H366" s="38"/>
      <c r="I366" s="23"/>
      <c r="J366" s="24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1.25" customHeight="1">
      <c r="A367" s="289"/>
      <c r="B367" s="289"/>
      <c r="C367" s="289"/>
      <c r="D367" s="289"/>
      <c r="E367" s="290"/>
      <c r="F367" s="289"/>
      <c r="H367" s="38"/>
      <c r="I367" s="23"/>
      <c r="J367" s="24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1.25" customHeight="1">
      <c r="A368" s="289"/>
      <c r="B368" s="289"/>
      <c r="C368" s="289"/>
      <c r="D368" s="289"/>
      <c r="E368" s="290"/>
      <c r="F368" s="289"/>
      <c r="H368" s="38"/>
      <c r="I368" s="23"/>
      <c r="J368" s="24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1.25" customHeight="1">
      <c r="A369" s="289"/>
      <c r="B369" s="289"/>
      <c r="C369" s="289"/>
      <c r="D369" s="289"/>
      <c r="E369" s="290"/>
      <c r="F369" s="289"/>
      <c r="H369" s="38"/>
      <c r="I369" s="23"/>
      <c r="J369" s="24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1.25" customHeight="1">
      <c r="A370" s="289"/>
      <c r="B370" s="289"/>
      <c r="C370" s="289"/>
      <c r="D370" s="289"/>
      <c r="E370" s="290"/>
      <c r="F370" s="289"/>
      <c r="H370" s="38"/>
      <c r="I370" s="23"/>
      <c r="J370" s="24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1.25" customHeight="1">
      <c r="A371" s="289"/>
      <c r="B371" s="289"/>
      <c r="C371" s="289"/>
      <c r="D371" s="289"/>
      <c r="E371" s="290"/>
      <c r="F371" s="289"/>
      <c r="H371" s="38"/>
      <c r="I371" s="23"/>
      <c r="J371" s="24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1.25" customHeight="1">
      <c r="A372" s="289"/>
      <c r="B372" s="289"/>
      <c r="C372" s="289"/>
      <c r="D372" s="289"/>
      <c r="E372" s="290"/>
      <c r="F372" s="289"/>
      <c r="H372" s="38"/>
      <c r="I372" s="23"/>
      <c r="J372" s="24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1.25" customHeight="1">
      <c r="A373" s="289"/>
      <c r="B373" s="289"/>
      <c r="C373" s="289"/>
      <c r="D373" s="289"/>
      <c r="E373" s="290"/>
      <c r="F373" s="289"/>
      <c r="H373" s="38"/>
      <c r="I373" s="23"/>
      <c r="J373" s="24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1.25" customHeight="1">
      <c r="A374" s="289"/>
      <c r="B374" s="289"/>
      <c r="C374" s="289"/>
      <c r="D374" s="289"/>
      <c r="E374" s="290"/>
      <c r="F374" s="289"/>
      <c r="H374" s="38"/>
      <c r="I374" s="23"/>
      <c r="J374" s="24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1.25" customHeight="1">
      <c r="A375" s="289"/>
      <c r="B375" s="289"/>
      <c r="C375" s="289"/>
      <c r="D375" s="289"/>
      <c r="E375" s="290"/>
      <c r="F375" s="289"/>
      <c r="H375" s="38"/>
      <c r="I375" s="23"/>
      <c r="J375" s="24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1.25" customHeight="1">
      <c r="A376" s="289"/>
      <c r="B376" s="289"/>
      <c r="C376" s="289"/>
      <c r="D376" s="289"/>
      <c r="E376" s="290"/>
      <c r="F376" s="289"/>
      <c r="H376" s="38"/>
      <c r="I376" s="23"/>
      <c r="J376" s="24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1.25" customHeight="1">
      <c r="A377" s="289"/>
      <c r="B377" s="289"/>
      <c r="C377" s="289"/>
      <c r="D377" s="289"/>
      <c r="E377" s="290"/>
      <c r="F377" s="289"/>
      <c r="H377" s="38"/>
      <c r="I377" s="23"/>
      <c r="J377" s="24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1.25" customHeight="1">
      <c r="A378" s="289"/>
      <c r="B378" s="289"/>
      <c r="C378" s="289"/>
      <c r="D378" s="289"/>
      <c r="E378" s="290"/>
      <c r="F378" s="289"/>
      <c r="H378" s="38"/>
      <c r="I378" s="23"/>
      <c r="J378" s="24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1.25" customHeight="1">
      <c r="A379" s="289"/>
      <c r="B379" s="289"/>
      <c r="C379" s="289"/>
      <c r="D379" s="289"/>
      <c r="E379" s="290"/>
      <c r="F379" s="289"/>
      <c r="H379" s="38"/>
      <c r="I379" s="23"/>
      <c r="J379" s="24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1.25" customHeight="1">
      <c r="A380" s="289"/>
      <c r="B380" s="289"/>
      <c r="C380" s="289"/>
      <c r="D380" s="289"/>
      <c r="E380" s="290"/>
      <c r="F380" s="289"/>
      <c r="H380" s="38"/>
      <c r="I380" s="23"/>
      <c r="J380" s="24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1.25" customHeight="1">
      <c r="A381" s="289"/>
      <c r="B381" s="289"/>
      <c r="C381" s="289"/>
      <c r="D381" s="289"/>
      <c r="E381" s="290"/>
      <c r="F381" s="289"/>
      <c r="H381" s="38"/>
      <c r="I381" s="23"/>
      <c r="J381" s="24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1.25" customHeight="1">
      <c r="A382" s="289"/>
      <c r="B382" s="289"/>
      <c r="C382" s="289"/>
      <c r="D382" s="289"/>
      <c r="E382" s="290"/>
      <c r="F382" s="289"/>
      <c r="H382" s="38"/>
      <c r="I382" s="23"/>
      <c r="J382" s="24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1.25" customHeight="1">
      <c r="A383" s="289"/>
      <c r="B383" s="289"/>
      <c r="C383" s="289"/>
      <c r="D383" s="289"/>
      <c r="E383" s="290"/>
      <c r="F383" s="289"/>
      <c r="H383" s="38"/>
      <c r="I383" s="23"/>
      <c r="J383" s="24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1.25" customHeight="1">
      <c r="A384" s="289"/>
      <c r="B384" s="289"/>
      <c r="C384" s="289"/>
      <c r="D384" s="289"/>
      <c r="E384" s="290"/>
      <c r="F384" s="289"/>
      <c r="H384" s="38"/>
      <c r="I384" s="23"/>
      <c r="J384" s="24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1.25" customHeight="1">
      <c r="A385" s="289"/>
      <c r="B385" s="289"/>
      <c r="C385" s="289"/>
      <c r="D385" s="289"/>
      <c r="E385" s="290"/>
      <c r="F385" s="289"/>
      <c r="H385" s="38"/>
      <c r="I385" s="23"/>
      <c r="J385" s="24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1.25" customHeight="1">
      <c r="A386" s="289"/>
      <c r="B386" s="289"/>
      <c r="C386" s="289"/>
      <c r="D386" s="289"/>
      <c r="E386" s="290"/>
      <c r="F386" s="289"/>
      <c r="H386" s="38"/>
      <c r="I386" s="23"/>
      <c r="J386" s="24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1.25" customHeight="1">
      <c r="A387" s="289"/>
      <c r="B387" s="289"/>
      <c r="C387" s="289"/>
      <c r="D387" s="289"/>
      <c r="E387" s="290"/>
      <c r="F387" s="289"/>
      <c r="H387" s="38"/>
      <c r="I387" s="23"/>
      <c r="J387" s="24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1.25" customHeight="1">
      <c r="A388" s="289"/>
      <c r="B388" s="289"/>
      <c r="C388" s="289"/>
      <c r="D388" s="289"/>
      <c r="E388" s="290"/>
      <c r="F388" s="289"/>
      <c r="H388" s="38"/>
      <c r="I388" s="23"/>
      <c r="J388" s="24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1.25" customHeight="1">
      <c r="A389" s="289"/>
      <c r="B389" s="289"/>
      <c r="C389" s="289"/>
      <c r="D389" s="289"/>
      <c r="E389" s="290"/>
      <c r="F389" s="289"/>
      <c r="H389" s="38"/>
      <c r="I389" s="23"/>
      <c r="J389" s="24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1.25" customHeight="1">
      <c r="A390" s="289"/>
      <c r="B390" s="289"/>
      <c r="C390" s="289"/>
      <c r="D390" s="289"/>
      <c r="E390" s="290"/>
      <c r="F390" s="289"/>
      <c r="H390" s="38"/>
      <c r="I390" s="23"/>
      <c r="J390" s="24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1.25" customHeight="1">
      <c r="A391" s="289"/>
      <c r="B391" s="289"/>
      <c r="C391" s="289"/>
      <c r="D391" s="289"/>
      <c r="E391" s="290"/>
      <c r="F391" s="289"/>
      <c r="H391" s="38"/>
      <c r="I391" s="23"/>
      <c r="J391" s="24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1.25" customHeight="1">
      <c r="A392" s="289"/>
      <c r="B392" s="289"/>
      <c r="C392" s="289"/>
      <c r="D392" s="289"/>
      <c r="E392" s="290"/>
      <c r="F392" s="289"/>
      <c r="H392" s="38"/>
      <c r="I392" s="23"/>
      <c r="J392" s="24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1.25" customHeight="1">
      <c r="A393" s="289"/>
      <c r="B393" s="289"/>
      <c r="C393" s="289"/>
      <c r="D393" s="289"/>
      <c r="E393" s="290"/>
      <c r="F393" s="289"/>
      <c r="H393" s="38"/>
      <c r="I393" s="23"/>
      <c r="J393" s="24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1.25" customHeight="1">
      <c r="A394" s="289"/>
      <c r="B394" s="289"/>
      <c r="C394" s="289"/>
      <c r="D394" s="289"/>
      <c r="E394" s="290"/>
      <c r="F394" s="289"/>
      <c r="H394" s="38"/>
      <c r="I394" s="23"/>
      <c r="J394" s="24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1.25" customHeight="1">
      <c r="A395" s="289"/>
      <c r="B395" s="289"/>
      <c r="C395" s="289"/>
      <c r="D395" s="289"/>
      <c r="E395" s="290"/>
      <c r="F395" s="289"/>
      <c r="H395" s="38"/>
      <c r="I395" s="23"/>
      <c r="J395" s="24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1.25" customHeight="1">
      <c r="A396" s="289"/>
      <c r="B396" s="289"/>
      <c r="C396" s="289"/>
      <c r="D396" s="289"/>
      <c r="E396" s="290"/>
      <c r="F396" s="289"/>
      <c r="H396" s="38"/>
      <c r="I396" s="23"/>
      <c r="J396" s="24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1.25" customHeight="1">
      <c r="A397" s="289"/>
      <c r="B397" s="289"/>
      <c r="C397" s="289"/>
      <c r="D397" s="289"/>
      <c r="E397" s="290"/>
      <c r="F397" s="289"/>
      <c r="H397" s="38"/>
      <c r="I397" s="23"/>
      <c r="J397" s="24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1.25" customHeight="1">
      <c r="A398" s="289"/>
      <c r="B398" s="289"/>
      <c r="C398" s="289"/>
      <c r="D398" s="289"/>
      <c r="E398" s="290"/>
      <c r="F398" s="289"/>
      <c r="H398" s="38"/>
      <c r="I398" s="23"/>
      <c r="J398" s="24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1.25" customHeight="1">
      <c r="A399" s="289"/>
      <c r="B399" s="289"/>
      <c r="C399" s="289"/>
      <c r="D399" s="289"/>
      <c r="E399" s="290"/>
      <c r="F399" s="289"/>
      <c r="H399" s="38"/>
      <c r="I399" s="23"/>
      <c r="J399" s="24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1.25" customHeight="1">
      <c r="A400" s="289"/>
      <c r="B400" s="289"/>
      <c r="C400" s="289"/>
      <c r="D400" s="289"/>
      <c r="E400" s="290"/>
      <c r="F400" s="289"/>
      <c r="H400" s="38"/>
      <c r="I400" s="23"/>
      <c r="J400" s="24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1.25" customHeight="1">
      <c r="A401" s="289"/>
      <c r="B401" s="289"/>
      <c r="C401" s="289"/>
      <c r="D401" s="289"/>
      <c r="E401" s="290"/>
      <c r="F401" s="289"/>
      <c r="H401" s="38"/>
      <c r="I401" s="23"/>
      <c r="J401" s="24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1.25" customHeight="1">
      <c r="A402" s="289"/>
      <c r="B402" s="289"/>
      <c r="C402" s="289"/>
      <c r="D402" s="289"/>
      <c r="E402" s="290"/>
      <c r="F402" s="289"/>
      <c r="H402" s="38"/>
      <c r="I402" s="23"/>
      <c r="J402" s="24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1.25" customHeight="1">
      <c r="A403" s="289"/>
      <c r="B403" s="289"/>
      <c r="C403" s="289"/>
      <c r="D403" s="289"/>
      <c r="E403" s="290"/>
      <c r="F403" s="289"/>
      <c r="H403" s="38"/>
      <c r="I403" s="23"/>
      <c r="J403" s="24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1.25" customHeight="1">
      <c r="A404" s="289"/>
      <c r="B404" s="289"/>
      <c r="C404" s="289"/>
      <c r="D404" s="289"/>
      <c r="E404" s="290"/>
      <c r="F404" s="289"/>
      <c r="H404" s="38"/>
      <c r="I404" s="23"/>
      <c r="J404" s="24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1.25" customHeight="1">
      <c r="A405" s="289"/>
      <c r="B405" s="289"/>
      <c r="C405" s="289"/>
      <c r="D405" s="289"/>
      <c r="E405" s="290"/>
      <c r="F405" s="289"/>
      <c r="H405" s="38"/>
      <c r="I405" s="23"/>
      <c r="J405" s="24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1.25" customHeight="1">
      <c r="A406" s="289"/>
      <c r="B406" s="289"/>
      <c r="C406" s="289"/>
      <c r="D406" s="289"/>
      <c r="E406" s="290"/>
      <c r="F406" s="289"/>
      <c r="H406" s="38"/>
      <c r="I406" s="23"/>
      <c r="J406" s="24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1.25" customHeight="1">
      <c r="A407" s="289"/>
      <c r="B407" s="289"/>
      <c r="C407" s="289"/>
      <c r="D407" s="289"/>
      <c r="E407" s="290"/>
      <c r="F407" s="289"/>
      <c r="H407" s="38"/>
      <c r="I407" s="23"/>
      <c r="J407" s="24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1.25" customHeight="1">
      <c r="A408" s="289"/>
      <c r="B408" s="289"/>
      <c r="C408" s="289"/>
      <c r="D408" s="289"/>
      <c r="E408" s="290"/>
      <c r="F408" s="289"/>
      <c r="H408" s="38"/>
      <c r="I408" s="23"/>
      <c r="J408" s="24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1.25" customHeight="1">
      <c r="A409" s="289"/>
      <c r="B409" s="289"/>
      <c r="C409" s="289"/>
      <c r="D409" s="289"/>
      <c r="E409" s="290"/>
      <c r="F409" s="289"/>
      <c r="H409" s="38"/>
      <c r="I409" s="23"/>
      <c r="J409" s="24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1.25" customHeight="1">
      <c r="A410" s="289"/>
      <c r="B410" s="289"/>
      <c r="C410" s="289"/>
      <c r="D410" s="289"/>
      <c r="E410" s="290"/>
      <c r="F410" s="289"/>
      <c r="H410" s="38"/>
      <c r="I410" s="23"/>
      <c r="J410" s="24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1.25" customHeight="1">
      <c r="A411" s="289"/>
      <c r="B411" s="289"/>
      <c r="C411" s="289"/>
      <c r="D411" s="289"/>
      <c r="E411" s="290"/>
      <c r="F411" s="289"/>
      <c r="H411" s="38"/>
      <c r="I411" s="23"/>
      <c r="J411" s="24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1.25" customHeight="1">
      <c r="A412" s="289"/>
      <c r="B412" s="289"/>
      <c r="C412" s="289"/>
      <c r="D412" s="289"/>
      <c r="E412" s="290"/>
      <c r="F412" s="289"/>
      <c r="H412" s="38"/>
      <c r="I412" s="23"/>
      <c r="J412" s="24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1.25" customHeight="1">
      <c r="A413" s="289"/>
      <c r="B413" s="289"/>
      <c r="C413" s="289"/>
      <c r="D413" s="289"/>
      <c r="E413" s="290"/>
      <c r="F413" s="289"/>
      <c r="H413" s="38"/>
      <c r="I413" s="23"/>
      <c r="J413" s="24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1.25" customHeight="1">
      <c r="A414" s="289"/>
      <c r="B414" s="289"/>
      <c r="C414" s="289"/>
      <c r="D414" s="289"/>
      <c r="E414" s="290"/>
      <c r="F414" s="289"/>
      <c r="H414" s="38"/>
      <c r="I414" s="23"/>
      <c r="J414" s="24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1.25" customHeight="1">
      <c r="A415" s="289"/>
      <c r="B415" s="289"/>
      <c r="C415" s="289"/>
      <c r="D415" s="289"/>
      <c r="E415" s="290"/>
      <c r="F415" s="289"/>
      <c r="H415" s="38"/>
      <c r="I415" s="23"/>
      <c r="J415" s="24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1.25" customHeight="1">
      <c r="A416" s="289"/>
      <c r="B416" s="289"/>
      <c r="C416" s="289"/>
      <c r="D416" s="289"/>
      <c r="E416" s="290"/>
      <c r="F416" s="289"/>
      <c r="H416" s="38"/>
      <c r="I416" s="23"/>
      <c r="J416" s="24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1.25" customHeight="1">
      <c r="A417" s="289"/>
      <c r="B417" s="289"/>
      <c r="C417" s="289"/>
      <c r="D417" s="289"/>
      <c r="E417" s="290"/>
      <c r="F417" s="289"/>
      <c r="H417" s="38"/>
      <c r="I417" s="23"/>
      <c r="J417" s="24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1.25" customHeight="1">
      <c r="A418" s="289"/>
      <c r="B418" s="289"/>
      <c r="C418" s="289"/>
      <c r="D418" s="289"/>
      <c r="E418" s="290"/>
      <c r="F418" s="289"/>
      <c r="H418" s="38"/>
      <c r="I418" s="23"/>
      <c r="J418" s="24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1.25" customHeight="1">
      <c r="A419" s="289"/>
      <c r="B419" s="289"/>
      <c r="C419" s="289"/>
      <c r="D419" s="289"/>
      <c r="E419" s="290"/>
      <c r="F419" s="289"/>
      <c r="H419" s="38"/>
      <c r="I419" s="23"/>
      <c r="J419" s="24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1.25" customHeight="1">
      <c r="A420" s="289"/>
      <c r="B420" s="289"/>
      <c r="C420" s="289"/>
      <c r="D420" s="289"/>
      <c r="E420" s="290"/>
      <c r="F420" s="289"/>
      <c r="H420" s="38"/>
      <c r="I420" s="23"/>
      <c r="J420" s="24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1.25" customHeight="1">
      <c r="A421" s="289"/>
      <c r="B421" s="289"/>
      <c r="C421" s="289"/>
      <c r="D421" s="289"/>
      <c r="E421" s="290"/>
      <c r="F421" s="289"/>
      <c r="H421" s="38"/>
      <c r="I421" s="23"/>
      <c r="J421" s="24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1.25" customHeight="1">
      <c r="A422" s="289"/>
      <c r="B422" s="289"/>
      <c r="C422" s="289"/>
      <c r="D422" s="289"/>
      <c r="E422" s="290"/>
      <c r="F422" s="289"/>
      <c r="H422" s="38"/>
      <c r="I422" s="23"/>
      <c r="J422" s="24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1.25" customHeight="1">
      <c r="A423" s="289"/>
      <c r="B423" s="289"/>
      <c r="C423" s="289"/>
      <c r="D423" s="289"/>
      <c r="E423" s="290"/>
      <c r="F423" s="289"/>
      <c r="H423" s="38"/>
      <c r="I423" s="23"/>
      <c r="J423" s="24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1.25" customHeight="1">
      <c r="A424" s="289"/>
      <c r="B424" s="289"/>
      <c r="C424" s="289"/>
      <c r="D424" s="289"/>
      <c r="E424" s="290"/>
      <c r="F424" s="289"/>
      <c r="H424" s="38"/>
      <c r="I424" s="23"/>
      <c r="J424" s="24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1.25" customHeight="1">
      <c r="A425" s="289"/>
      <c r="B425" s="289"/>
      <c r="C425" s="289"/>
      <c r="D425" s="289"/>
      <c r="E425" s="290"/>
      <c r="F425" s="289"/>
      <c r="H425" s="38"/>
      <c r="I425" s="23"/>
      <c r="J425" s="24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1.25" customHeight="1">
      <c r="A426" s="289"/>
      <c r="B426" s="289"/>
      <c r="C426" s="289"/>
      <c r="D426" s="289"/>
      <c r="E426" s="290"/>
      <c r="F426" s="289"/>
      <c r="H426" s="38"/>
      <c r="I426" s="23"/>
      <c r="J426" s="24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1.25" customHeight="1">
      <c r="A427" s="289"/>
      <c r="B427" s="289"/>
      <c r="C427" s="289"/>
      <c r="D427" s="289"/>
      <c r="E427" s="290"/>
      <c r="F427" s="289"/>
      <c r="H427" s="38"/>
      <c r="I427" s="23"/>
      <c r="J427" s="24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1.25" customHeight="1">
      <c r="A428" s="289"/>
      <c r="B428" s="289"/>
      <c r="C428" s="289"/>
      <c r="D428" s="289"/>
      <c r="E428" s="290"/>
      <c r="F428" s="289"/>
      <c r="H428" s="38"/>
      <c r="I428" s="23"/>
      <c r="J428" s="24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1.25" customHeight="1">
      <c r="A429" s="289"/>
      <c r="B429" s="289"/>
      <c r="C429" s="289"/>
      <c r="D429" s="289"/>
      <c r="E429" s="290"/>
      <c r="F429" s="289"/>
      <c r="H429" s="38"/>
      <c r="I429" s="23"/>
      <c r="J429" s="24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1.25" customHeight="1">
      <c r="A430" s="289"/>
      <c r="B430" s="289"/>
      <c r="C430" s="289"/>
      <c r="D430" s="289"/>
      <c r="E430" s="290"/>
      <c r="F430" s="289"/>
      <c r="H430" s="38"/>
      <c r="I430" s="23"/>
      <c r="J430" s="24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1.25" customHeight="1">
      <c r="A431" s="289"/>
      <c r="B431" s="289"/>
      <c r="C431" s="289"/>
      <c r="D431" s="289"/>
      <c r="E431" s="290"/>
      <c r="F431" s="289"/>
      <c r="H431" s="38"/>
      <c r="I431" s="23"/>
      <c r="J431" s="24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1.25" customHeight="1">
      <c r="A432" s="289"/>
      <c r="B432" s="289"/>
      <c r="C432" s="289"/>
      <c r="D432" s="289"/>
      <c r="E432" s="290"/>
      <c r="F432" s="289"/>
      <c r="H432" s="38"/>
      <c r="I432" s="23"/>
      <c r="J432" s="24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1.25" customHeight="1">
      <c r="A433" s="289"/>
      <c r="B433" s="289"/>
      <c r="C433" s="289"/>
      <c r="D433" s="289"/>
      <c r="E433" s="290"/>
      <c r="F433" s="289"/>
      <c r="H433" s="38"/>
      <c r="I433" s="23"/>
      <c r="J433" s="24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1.25" customHeight="1">
      <c r="A434" s="289"/>
      <c r="B434" s="289"/>
      <c r="C434" s="289"/>
      <c r="D434" s="289"/>
      <c r="E434" s="290"/>
      <c r="F434" s="289"/>
      <c r="H434" s="38"/>
      <c r="I434" s="23"/>
      <c r="J434" s="24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1.25" customHeight="1">
      <c r="A435" s="289"/>
      <c r="B435" s="289"/>
      <c r="C435" s="289"/>
      <c r="D435" s="289"/>
      <c r="E435" s="290"/>
      <c r="F435" s="289"/>
      <c r="H435" s="38"/>
      <c r="I435" s="23"/>
      <c r="J435" s="24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1.25" customHeight="1">
      <c r="A436" s="289"/>
      <c r="B436" s="289"/>
      <c r="C436" s="289"/>
      <c r="D436" s="289"/>
      <c r="E436" s="290"/>
      <c r="F436" s="289"/>
      <c r="H436" s="38"/>
      <c r="I436" s="23"/>
      <c r="J436" s="24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1.25" customHeight="1">
      <c r="A437" s="289"/>
      <c r="B437" s="289"/>
      <c r="C437" s="289"/>
      <c r="D437" s="289"/>
      <c r="E437" s="290"/>
      <c r="F437" s="289"/>
      <c r="H437" s="38"/>
      <c r="I437" s="23"/>
      <c r="J437" s="24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1.25" customHeight="1">
      <c r="A438" s="289"/>
      <c r="B438" s="289"/>
      <c r="C438" s="289"/>
      <c r="D438" s="289"/>
      <c r="E438" s="290"/>
      <c r="F438" s="289"/>
      <c r="H438" s="38"/>
      <c r="I438" s="23"/>
      <c r="J438" s="24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1.25" customHeight="1">
      <c r="A439" s="289"/>
      <c r="B439" s="289"/>
      <c r="C439" s="289"/>
      <c r="D439" s="289"/>
      <c r="E439" s="290"/>
      <c r="F439" s="289"/>
      <c r="H439" s="38"/>
      <c r="I439" s="23"/>
      <c r="J439" s="24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1.25" customHeight="1">
      <c r="A440" s="289"/>
      <c r="B440" s="289"/>
      <c r="C440" s="289"/>
      <c r="D440" s="289"/>
      <c r="E440" s="290"/>
      <c r="F440" s="289"/>
      <c r="H440" s="38"/>
      <c r="I440" s="23"/>
      <c r="J440" s="24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1.25" customHeight="1">
      <c r="A441" s="289"/>
      <c r="B441" s="289"/>
      <c r="C441" s="289"/>
      <c r="D441" s="289"/>
      <c r="E441" s="290"/>
      <c r="F441" s="289"/>
      <c r="H441" s="38"/>
      <c r="I441" s="23"/>
      <c r="J441" s="24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1.25" customHeight="1">
      <c r="A442" s="289"/>
      <c r="B442" s="289"/>
      <c r="C442" s="289"/>
      <c r="D442" s="289"/>
      <c r="E442" s="290"/>
      <c r="F442" s="289"/>
      <c r="H442" s="38"/>
      <c r="I442" s="23"/>
      <c r="J442" s="24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1.25" customHeight="1">
      <c r="A443" s="289"/>
      <c r="B443" s="289"/>
      <c r="C443" s="289"/>
      <c r="D443" s="289"/>
      <c r="E443" s="290"/>
      <c r="F443" s="289"/>
      <c r="H443" s="38"/>
      <c r="I443" s="23"/>
      <c r="J443" s="24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1.25" customHeight="1">
      <c r="A444" s="289"/>
      <c r="B444" s="289"/>
      <c r="C444" s="289"/>
      <c r="D444" s="289"/>
      <c r="E444" s="290"/>
      <c r="F444" s="289"/>
      <c r="H444" s="38"/>
      <c r="I444" s="23"/>
      <c r="J444" s="24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1.25" customHeight="1">
      <c r="A445" s="289"/>
      <c r="B445" s="289"/>
      <c r="C445" s="289"/>
      <c r="D445" s="289"/>
      <c r="E445" s="290"/>
      <c r="F445" s="289"/>
      <c r="H445" s="38"/>
      <c r="I445" s="23"/>
      <c r="J445" s="24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1.25" customHeight="1">
      <c r="A446" s="289"/>
      <c r="B446" s="289"/>
      <c r="C446" s="289"/>
      <c r="D446" s="289"/>
      <c r="E446" s="290"/>
      <c r="F446" s="289"/>
      <c r="H446" s="38"/>
      <c r="I446" s="23"/>
      <c r="J446" s="24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1.25" customHeight="1">
      <c r="A447" s="289"/>
      <c r="B447" s="289"/>
      <c r="C447" s="289"/>
      <c r="D447" s="289"/>
      <c r="E447" s="290"/>
      <c r="F447" s="289"/>
      <c r="H447" s="38"/>
      <c r="I447" s="23"/>
      <c r="J447" s="24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1.25" customHeight="1">
      <c r="A448" s="289"/>
      <c r="B448" s="289"/>
      <c r="C448" s="289"/>
      <c r="D448" s="289"/>
      <c r="E448" s="290"/>
      <c r="F448" s="289"/>
      <c r="H448" s="38"/>
      <c r="I448" s="23"/>
      <c r="J448" s="24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1.25" customHeight="1">
      <c r="A449" s="289"/>
      <c r="B449" s="289"/>
      <c r="C449" s="289"/>
      <c r="D449" s="289"/>
      <c r="E449" s="290"/>
      <c r="F449" s="289"/>
      <c r="H449" s="38"/>
      <c r="I449" s="23"/>
      <c r="J449" s="24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1.25" customHeight="1">
      <c r="A450" s="289"/>
      <c r="B450" s="289"/>
      <c r="C450" s="289"/>
      <c r="D450" s="289"/>
      <c r="E450" s="290"/>
      <c r="F450" s="289"/>
      <c r="H450" s="38"/>
      <c r="I450" s="23"/>
      <c r="J450" s="24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1.25" customHeight="1">
      <c r="A451" s="289"/>
      <c r="B451" s="289"/>
      <c r="C451" s="289"/>
      <c r="D451" s="289"/>
      <c r="E451" s="290"/>
      <c r="F451" s="289"/>
      <c r="H451" s="38"/>
      <c r="I451" s="23"/>
      <c r="J451" s="24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1.25" customHeight="1">
      <c r="A452" s="289"/>
      <c r="B452" s="289"/>
      <c r="C452" s="289"/>
      <c r="D452" s="289"/>
      <c r="E452" s="290"/>
      <c r="F452" s="289"/>
      <c r="H452" s="38"/>
      <c r="I452" s="23"/>
      <c r="J452" s="24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1.25" customHeight="1">
      <c r="A453" s="289"/>
      <c r="B453" s="289"/>
      <c r="C453" s="289"/>
      <c r="D453" s="289"/>
      <c r="E453" s="290"/>
      <c r="F453" s="289"/>
      <c r="H453" s="38"/>
      <c r="I453" s="23"/>
      <c r="J453" s="24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1.25" customHeight="1">
      <c r="A454" s="289"/>
      <c r="B454" s="289"/>
      <c r="C454" s="289"/>
      <c r="D454" s="289"/>
      <c r="E454" s="290"/>
      <c r="F454" s="289"/>
      <c r="H454" s="38"/>
      <c r="I454" s="23"/>
      <c r="J454" s="24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1.25" customHeight="1">
      <c r="A455" s="289"/>
      <c r="B455" s="289"/>
      <c r="C455" s="289"/>
      <c r="D455" s="289"/>
      <c r="E455" s="290"/>
      <c r="F455" s="289"/>
      <c r="H455" s="38"/>
      <c r="I455" s="23"/>
      <c r="J455" s="24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1.25" customHeight="1">
      <c r="A456" s="289"/>
      <c r="B456" s="289"/>
      <c r="C456" s="289"/>
      <c r="D456" s="289"/>
      <c r="E456" s="290"/>
      <c r="F456" s="289"/>
      <c r="H456" s="38"/>
      <c r="I456" s="23"/>
      <c r="J456" s="24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1.25" customHeight="1">
      <c r="A457" s="289"/>
      <c r="B457" s="289"/>
      <c r="C457" s="289"/>
      <c r="D457" s="289"/>
      <c r="E457" s="290"/>
      <c r="F457" s="289"/>
      <c r="H457" s="38"/>
      <c r="I457" s="23"/>
      <c r="J457" s="24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1.25" customHeight="1">
      <c r="A458" s="289"/>
      <c r="B458" s="289"/>
      <c r="C458" s="289"/>
      <c r="D458" s="289"/>
      <c r="E458" s="290"/>
      <c r="F458" s="289"/>
      <c r="H458" s="38"/>
      <c r="I458" s="23"/>
      <c r="J458" s="24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1.25" customHeight="1">
      <c r="A459" s="289"/>
      <c r="B459" s="289"/>
      <c r="C459" s="289"/>
      <c r="D459" s="289"/>
      <c r="E459" s="290"/>
      <c r="F459" s="289"/>
      <c r="H459" s="38"/>
      <c r="I459" s="23"/>
      <c r="J459" s="24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1.25" customHeight="1">
      <c r="A460" s="289"/>
      <c r="B460" s="289"/>
      <c r="C460" s="289"/>
      <c r="D460" s="289"/>
      <c r="E460" s="290"/>
      <c r="F460" s="289"/>
      <c r="H460" s="38"/>
      <c r="I460" s="23"/>
      <c r="J460" s="24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1.25" customHeight="1">
      <c r="A461" s="289"/>
      <c r="B461" s="289"/>
      <c r="C461" s="289"/>
      <c r="D461" s="289"/>
      <c r="E461" s="290"/>
      <c r="F461" s="289"/>
      <c r="H461" s="38"/>
      <c r="I461" s="23"/>
      <c r="J461" s="24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1.25" customHeight="1">
      <c r="A462" s="289"/>
      <c r="B462" s="289"/>
      <c r="C462" s="289"/>
      <c r="D462" s="289"/>
      <c r="E462" s="290"/>
      <c r="F462" s="289"/>
      <c r="H462" s="38"/>
      <c r="I462" s="23"/>
      <c r="J462" s="24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1.25" customHeight="1">
      <c r="A463" s="289"/>
      <c r="B463" s="289"/>
      <c r="C463" s="289"/>
      <c r="D463" s="289"/>
      <c r="E463" s="290"/>
      <c r="F463" s="289"/>
      <c r="H463" s="38"/>
      <c r="I463" s="23"/>
      <c r="J463" s="24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1.25" customHeight="1">
      <c r="A464" s="289"/>
      <c r="B464" s="289"/>
      <c r="C464" s="289"/>
      <c r="D464" s="289"/>
      <c r="E464" s="290"/>
      <c r="F464" s="289"/>
      <c r="H464" s="38"/>
      <c r="I464" s="23"/>
      <c r="J464" s="24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1.25" customHeight="1">
      <c r="A465" s="289"/>
      <c r="B465" s="289"/>
      <c r="C465" s="289"/>
      <c r="D465" s="289"/>
      <c r="E465" s="290"/>
      <c r="F465" s="289"/>
      <c r="H465" s="38"/>
      <c r="I465" s="23"/>
      <c r="J465" s="24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1.25" customHeight="1">
      <c r="A466" s="289"/>
      <c r="B466" s="289"/>
      <c r="C466" s="289"/>
      <c r="D466" s="289"/>
      <c r="E466" s="290"/>
      <c r="F466" s="289"/>
      <c r="H466" s="38"/>
      <c r="I466" s="23"/>
      <c r="J466" s="24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1.25" customHeight="1">
      <c r="A467" s="289"/>
      <c r="B467" s="289"/>
      <c r="C467" s="289"/>
      <c r="D467" s="289"/>
      <c r="E467" s="290"/>
      <c r="F467" s="289"/>
      <c r="H467" s="38"/>
      <c r="I467" s="23"/>
      <c r="J467" s="24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1.25" customHeight="1">
      <c r="A468" s="289"/>
      <c r="B468" s="289"/>
      <c r="C468" s="289"/>
      <c r="D468" s="289"/>
      <c r="E468" s="290"/>
      <c r="F468" s="289"/>
      <c r="H468" s="38"/>
      <c r="I468" s="23"/>
      <c r="J468" s="24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1.25" customHeight="1">
      <c r="A469" s="289"/>
      <c r="B469" s="289"/>
      <c r="C469" s="289"/>
      <c r="D469" s="289"/>
      <c r="E469" s="290"/>
      <c r="F469" s="289"/>
      <c r="H469" s="38"/>
      <c r="I469" s="23"/>
      <c r="J469" s="24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1.25" customHeight="1">
      <c r="A470" s="289"/>
      <c r="B470" s="289"/>
      <c r="C470" s="289"/>
      <c r="D470" s="289"/>
      <c r="E470" s="290"/>
      <c r="F470" s="289"/>
      <c r="H470" s="38"/>
      <c r="I470" s="23"/>
      <c r="J470" s="24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1.25" customHeight="1">
      <c r="A471" s="289"/>
      <c r="B471" s="289"/>
      <c r="C471" s="289"/>
      <c r="D471" s="289"/>
      <c r="E471" s="290"/>
      <c r="F471" s="289"/>
      <c r="H471" s="38"/>
      <c r="I471" s="23"/>
      <c r="J471" s="24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1.25" customHeight="1">
      <c r="A472" s="289"/>
      <c r="B472" s="289"/>
      <c r="C472" s="289"/>
      <c r="D472" s="289"/>
      <c r="E472" s="290"/>
      <c r="F472" s="289"/>
      <c r="H472" s="38"/>
      <c r="I472" s="23"/>
      <c r="J472" s="24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1.25" customHeight="1">
      <c r="A473" s="289"/>
      <c r="B473" s="289"/>
      <c r="C473" s="289"/>
      <c r="D473" s="289"/>
      <c r="E473" s="290"/>
      <c r="F473" s="289"/>
      <c r="H473" s="38"/>
      <c r="I473" s="23"/>
      <c r="J473" s="24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1.25" customHeight="1">
      <c r="A474" s="289"/>
      <c r="B474" s="289"/>
      <c r="C474" s="289"/>
      <c r="D474" s="289"/>
      <c r="E474" s="290"/>
      <c r="F474" s="289"/>
      <c r="H474" s="38"/>
      <c r="I474" s="23"/>
      <c r="J474" s="24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1.25" customHeight="1">
      <c r="A475" s="289"/>
      <c r="B475" s="289"/>
      <c r="C475" s="289"/>
      <c r="D475" s="289"/>
      <c r="E475" s="290"/>
      <c r="F475" s="289"/>
      <c r="H475" s="38"/>
      <c r="I475" s="23"/>
      <c r="J475" s="24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1.25" customHeight="1">
      <c r="A476" s="289"/>
      <c r="B476" s="289"/>
      <c r="C476" s="289"/>
      <c r="D476" s="289"/>
      <c r="E476" s="290"/>
      <c r="F476" s="289"/>
      <c r="H476" s="38"/>
      <c r="I476" s="23"/>
      <c r="J476" s="24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1.25" customHeight="1">
      <c r="A477" s="289"/>
      <c r="B477" s="289"/>
      <c r="C477" s="289"/>
      <c r="D477" s="289"/>
      <c r="E477" s="290"/>
      <c r="F477" s="289"/>
      <c r="H477" s="38"/>
      <c r="I477" s="23"/>
      <c r="J477" s="24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1.25" customHeight="1">
      <c r="A478" s="289"/>
      <c r="B478" s="289"/>
      <c r="C478" s="289"/>
      <c r="D478" s="289"/>
      <c r="E478" s="290"/>
      <c r="F478" s="289"/>
      <c r="H478" s="38"/>
      <c r="I478" s="23"/>
      <c r="J478" s="24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1.25" customHeight="1">
      <c r="A479" s="289"/>
      <c r="B479" s="289"/>
      <c r="C479" s="289"/>
      <c r="D479" s="289"/>
      <c r="E479" s="290"/>
      <c r="F479" s="289"/>
      <c r="H479" s="38"/>
      <c r="I479" s="23"/>
      <c r="J479" s="24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1.25" customHeight="1">
      <c r="A480" s="289"/>
      <c r="B480" s="289"/>
      <c r="C480" s="289"/>
      <c r="D480" s="289"/>
      <c r="E480" s="290"/>
      <c r="F480" s="289"/>
      <c r="H480" s="38"/>
      <c r="I480" s="23"/>
      <c r="J480" s="24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1.25" customHeight="1">
      <c r="A481" s="289"/>
      <c r="B481" s="289"/>
      <c r="C481" s="289"/>
      <c r="D481" s="289"/>
      <c r="E481" s="290"/>
      <c r="F481" s="289"/>
      <c r="H481" s="38"/>
      <c r="I481" s="23"/>
      <c r="J481" s="24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1.25" customHeight="1">
      <c r="A482" s="289"/>
      <c r="B482" s="289"/>
      <c r="C482" s="289"/>
      <c r="D482" s="289"/>
      <c r="E482" s="290"/>
      <c r="F482" s="289"/>
      <c r="H482" s="38"/>
      <c r="I482" s="23"/>
      <c r="J482" s="24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1.25" customHeight="1">
      <c r="A483" s="289"/>
      <c r="B483" s="289"/>
      <c r="C483" s="289"/>
      <c r="D483" s="289"/>
      <c r="E483" s="290"/>
      <c r="F483" s="289"/>
      <c r="H483" s="38"/>
      <c r="I483" s="23"/>
      <c r="J483" s="24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1.25" customHeight="1">
      <c r="A484" s="289"/>
      <c r="B484" s="289"/>
      <c r="C484" s="289"/>
      <c r="D484" s="289"/>
      <c r="E484" s="290"/>
      <c r="F484" s="289"/>
      <c r="H484" s="38"/>
      <c r="I484" s="23"/>
      <c r="J484" s="24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1.25" customHeight="1">
      <c r="A485" s="289"/>
      <c r="B485" s="289"/>
      <c r="C485" s="289"/>
      <c r="D485" s="289"/>
      <c r="E485" s="290"/>
      <c r="F485" s="289"/>
      <c r="H485" s="38"/>
      <c r="I485" s="23"/>
      <c r="J485" s="24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1.25" customHeight="1">
      <c r="A486" s="289"/>
      <c r="B486" s="289"/>
      <c r="C486" s="289"/>
      <c r="D486" s="289"/>
      <c r="E486" s="290"/>
      <c r="F486" s="289"/>
      <c r="H486" s="38"/>
      <c r="I486" s="23"/>
      <c r="J486" s="24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1.25" customHeight="1">
      <c r="A487" s="289"/>
      <c r="B487" s="289"/>
      <c r="C487" s="289"/>
      <c r="D487" s="289"/>
      <c r="E487" s="290"/>
      <c r="F487" s="289"/>
      <c r="H487" s="38"/>
      <c r="I487" s="23"/>
      <c r="J487" s="24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1.25" customHeight="1">
      <c r="A488" s="289"/>
      <c r="B488" s="289"/>
      <c r="C488" s="289"/>
      <c r="D488" s="289"/>
      <c r="E488" s="290"/>
      <c r="F488" s="289"/>
      <c r="H488" s="38"/>
      <c r="I488" s="23"/>
      <c r="J488" s="24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1.25" customHeight="1">
      <c r="A489" s="289"/>
      <c r="B489" s="289"/>
      <c r="C489" s="289"/>
      <c r="D489" s="289"/>
      <c r="E489" s="290"/>
      <c r="F489" s="289"/>
      <c r="H489" s="38"/>
      <c r="I489" s="23"/>
      <c r="J489" s="24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1.25" customHeight="1">
      <c r="A490" s="289"/>
      <c r="B490" s="289"/>
      <c r="C490" s="289"/>
      <c r="D490" s="289"/>
      <c r="E490" s="290"/>
      <c r="F490" s="289"/>
      <c r="H490" s="38"/>
      <c r="I490" s="23"/>
      <c r="J490" s="24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1.25" customHeight="1">
      <c r="A491" s="289"/>
      <c r="B491" s="289"/>
      <c r="C491" s="289"/>
      <c r="D491" s="289"/>
      <c r="E491" s="290"/>
      <c r="F491" s="289"/>
      <c r="H491" s="38"/>
      <c r="I491" s="23"/>
      <c r="J491" s="24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1.25" customHeight="1">
      <c r="A492" s="289"/>
      <c r="B492" s="289"/>
      <c r="C492" s="289"/>
      <c r="D492" s="289"/>
      <c r="E492" s="290"/>
      <c r="F492" s="289"/>
      <c r="H492" s="38"/>
      <c r="I492" s="23"/>
      <c r="J492" s="24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1.25" customHeight="1">
      <c r="A493" s="289"/>
      <c r="B493" s="289"/>
      <c r="C493" s="289"/>
      <c r="D493" s="289"/>
      <c r="E493" s="290"/>
      <c r="F493" s="289"/>
      <c r="H493" s="38"/>
      <c r="I493" s="23"/>
      <c r="J493" s="24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1.25" customHeight="1">
      <c r="A494" s="289"/>
      <c r="B494" s="289"/>
      <c r="C494" s="289"/>
      <c r="D494" s="289"/>
      <c r="E494" s="290"/>
      <c r="F494" s="289"/>
      <c r="H494" s="38"/>
      <c r="I494" s="23"/>
      <c r="J494" s="24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1.25" customHeight="1">
      <c r="A495" s="289"/>
      <c r="B495" s="289"/>
      <c r="C495" s="289"/>
      <c r="D495" s="289"/>
      <c r="E495" s="290"/>
      <c r="F495" s="289"/>
      <c r="H495" s="38"/>
      <c r="I495" s="23"/>
      <c r="J495" s="24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1.25" customHeight="1">
      <c r="A496" s="289"/>
      <c r="B496" s="289"/>
      <c r="C496" s="289"/>
      <c r="D496" s="289"/>
      <c r="E496" s="290"/>
      <c r="F496" s="289"/>
      <c r="H496" s="38"/>
      <c r="I496" s="23"/>
      <c r="J496" s="24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1.25" customHeight="1">
      <c r="A497" s="289"/>
      <c r="B497" s="289"/>
      <c r="C497" s="289"/>
      <c r="D497" s="289"/>
      <c r="E497" s="290"/>
      <c r="F497" s="289"/>
      <c r="H497" s="38"/>
      <c r="I497" s="23"/>
      <c r="J497" s="24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1.25" customHeight="1">
      <c r="A498" s="289"/>
      <c r="B498" s="289"/>
      <c r="C498" s="289"/>
      <c r="D498" s="289"/>
      <c r="E498" s="290"/>
      <c r="F498" s="289"/>
      <c r="H498" s="38"/>
      <c r="I498" s="23"/>
      <c r="J498" s="24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1.25" customHeight="1">
      <c r="A499" s="289"/>
      <c r="B499" s="289"/>
      <c r="C499" s="289"/>
      <c r="D499" s="289"/>
      <c r="E499" s="290"/>
      <c r="F499" s="289"/>
      <c r="H499" s="38"/>
      <c r="I499" s="23"/>
      <c r="J499" s="24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1.25" customHeight="1">
      <c r="A500" s="289"/>
      <c r="B500" s="289"/>
      <c r="C500" s="289"/>
      <c r="D500" s="289"/>
      <c r="E500" s="290"/>
      <c r="F500" s="289"/>
      <c r="H500" s="38"/>
      <c r="I500" s="23"/>
      <c r="J500" s="24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1.25" customHeight="1">
      <c r="A501" s="289"/>
      <c r="B501" s="289"/>
      <c r="C501" s="289"/>
      <c r="D501" s="289"/>
      <c r="E501" s="290"/>
      <c r="F501" s="289"/>
      <c r="H501" s="38"/>
      <c r="I501" s="23"/>
      <c r="J501" s="24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1.25" customHeight="1">
      <c r="A502" s="289"/>
      <c r="B502" s="289"/>
      <c r="C502" s="289"/>
      <c r="D502" s="289"/>
      <c r="E502" s="290"/>
      <c r="F502" s="289"/>
      <c r="H502" s="38"/>
      <c r="I502" s="23"/>
      <c r="J502" s="24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1.25" customHeight="1">
      <c r="A503" s="289"/>
      <c r="B503" s="289"/>
      <c r="C503" s="289"/>
      <c r="D503" s="289"/>
      <c r="E503" s="290"/>
      <c r="F503" s="289"/>
      <c r="H503" s="38"/>
      <c r="I503" s="23"/>
      <c r="J503" s="24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1.25" customHeight="1">
      <c r="A504" s="289"/>
      <c r="B504" s="289"/>
      <c r="C504" s="289"/>
      <c r="D504" s="289"/>
      <c r="E504" s="290"/>
      <c r="F504" s="289"/>
      <c r="H504" s="38"/>
      <c r="I504" s="23"/>
      <c r="J504" s="24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1.25" customHeight="1">
      <c r="A505" s="289"/>
      <c r="B505" s="289"/>
      <c r="C505" s="289"/>
      <c r="D505" s="289"/>
      <c r="E505" s="290"/>
      <c r="F505" s="289"/>
      <c r="H505" s="38"/>
      <c r="I505" s="23"/>
      <c r="J505" s="24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1.25" customHeight="1">
      <c r="A506" s="289"/>
      <c r="B506" s="289"/>
      <c r="C506" s="289"/>
      <c r="D506" s="289"/>
      <c r="E506" s="290"/>
      <c r="F506" s="289"/>
      <c r="H506" s="38"/>
      <c r="I506" s="23"/>
      <c r="J506" s="24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1.25" customHeight="1">
      <c r="A507" s="289"/>
      <c r="B507" s="289"/>
      <c r="C507" s="289"/>
      <c r="D507" s="289"/>
      <c r="E507" s="290"/>
      <c r="F507" s="289"/>
      <c r="H507" s="38"/>
      <c r="I507" s="23"/>
      <c r="J507" s="24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1.25" customHeight="1">
      <c r="A508" s="289"/>
      <c r="B508" s="289"/>
      <c r="C508" s="289"/>
      <c r="D508" s="289"/>
      <c r="E508" s="290"/>
      <c r="F508" s="289"/>
      <c r="H508" s="38"/>
      <c r="I508" s="23"/>
      <c r="J508" s="24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1.25" customHeight="1">
      <c r="A509" s="289"/>
      <c r="B509" s="289"/>
      <c r="C509" s="289"/>
      <c r="D509" s="289"/>
      <c r="E509" s="290"/>
      <c r="F509" s="289"/>
      <c r="H509" s="38"/>
      <c r="I509" s="23"/>
      <c r="J509" s="24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1.25" customHeight="1">
      <c r="A510" s="289"/>
      <c r="B510" s="289"/>
      <c r="C510" s="289"/>
      <c r="D510" s="289"/>
      <c r="E510" s="290"/>
      <c r="F510" s="289"/>
      <c r="H510" s="38"/>
      <c r="I510" s="23"/>
      <c r="J510" s="24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1.25" customHeight="1">
      <c r="A511" s="289"/>
      <c r="B511" s="289"/>
      <c r="C511" s="289"/>
      <c r="D511" s="289"/>
      <c r="E511" s="290"/>
      <c r="F511" s="289"/>
      <c r="H511" s="38"/>
      <c r="I511" s="23"/>
      <c r="J511" s="24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1.25" customHeight="1">
      <c r="A512" s="289"/>
      <c r="B512" s="289"/>
      <c r="C512" s="289"/>
      <c r="D512" s="289"/>
      <c r="E512" s="290"/>
      <c r="F512" s="289"/>
      <c r="H512" s="38"/>
      <c r="I512" s="23"/>
      <c r="J512" s="24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1.25" customHeight="1">
      <c r="A513" s="289"/>
      <c r="B513" s="289"/>
      <c r="C513" s="289"/>
      <c r="D513" s="289"/>
      <c r="E513" s="290"/>
      <c r="F513" s="289"/>
      <c r="H513" s="38"/>
      <c r="I513" s="23"/>
      <c r="J513" s="24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1.25" customHeight="1">
      <c r="A514" s="289"/>
      <c r="B514" s="289"/>
      <c r="C514" s="289"/>
      <c r="D514" s="289"/>
      <c r="E514" s="290"/>
      <c r="F514" s="289"/>
      <c r="H514" s="38"/>
      <c r="I514" s="23"/>
      <c r="J514" s="24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1.25" customHeight="1">
      <c r="A515" s="289"/>
      <c r="B515" s="289"/>
      <c r="C515" s="289"/>
      <c r="D515" s="289"/>
      <c r="E515" s="290"/>
      <c r="F515" s="289"/>
      <c r="H515" s="38"/>
      <c r="I515" s="23"/>
      <c r="J515" s="24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1.25" customHeight="1">
      <c r="A516" s="289"/>
      <c r="B516" s="289"/>
      <c r="C516" s="289"/>
      <c r="D516" s="289"/>
      <c r="E516" s="290"/>
      <c r="F516" s="289"/>
      <c r="H516" s="38"/>
      <c r="I516" s="23"/>
      <c r="J516" s="24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1.25" customHeight="1">
      <c r="A517" s="289"/>
      <c r="B517" s="289"/>
      <c r="C517" s="289"/>
      <c r="D517" s="289"/>
      <c r="E517" s="290"/>
      <c r="F517" s="289"/>
      <c r="H517" s="38"/>
      <c r="I517" s="23"/>
      <c r="J517" s="24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1.25" customHeight="1">
      <c r="A518" s="289"/>
      <c r="B518" s="289"/>
      <c r="C518" s="289"/>
      <c r="D518" s="289"/>
      <c r="E518" s="290"/>
      <c r="F518" s="289"/>
      <c r="H518" s="38"/>
      <c r="I518" s="23"/>
      <c r="J518" s="24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1.25" customHeight="1">
      <c r="A519" s="289"/>
      <c r="B519" s="289"/>
      <c r="C519" s="289"/>
      <c r="D519" s="289"/>
      <c r="E519" s="290"/>
      <c r="F519" s="289"/>
      <c r="H519" s="38"/>
      <c r="I519" s="23"/>
      <c r="J519" s="24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1.25" customHeight="1">
      <c r="A520" s="289"/>
      <c r="B520" s="289"/>
      <c r="C520" s="289"/>
      <c r="D520" s="289"/>
      <c r="E520" s="290"/>
      <c r="F520" s="289"/>
      <c r="H520" s="38"/>
      <c r="I520" s="23"/>
      <c r="J520" s="24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1.25" customHeight="1">
      <c r="A521" s="289"/>
      <c r="B521" s="289"/>
      <c r="C521" s="289"/>
      <c r="D521" s="289"/>
      <c r="E521" s="290"/>
      <c r="F521" s="289"/>
      <c r="H521" s="38"/>
      <c r="I521" s="23"/>
      <c r="J521" s="24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1.25" customHeight="1">
      <c r="A522" s="289"/>
      <c r="B522" s="289"/>
      <c r="C522" s="289"/>
      <c r="D522" s="289"/>
      <c r="E522" s="290"/>
      <c r="F522" s="289"/>
      <c r="H522" s="38"/>
      <c r="I522" s="23"/>
      <c r="J522" s="24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1.25" customHeight="1">
      <c r="A523" s="289"/>
      <c r="B523" s="289"/>
      <c r="C523" s="289"/>
      <c r="D523" s="289"/>
      <c r="E523" s="290"/>
      <c r="F523" s="289"/>
      <c r="H523" s="38"/>
      <c r="I523" s="23"/>
      <c r="J523" s="24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1.25" customHeight="1">
      <c r="A524" s="289"/>
      <c r="B524" s="289"/>
      <c r="C524" s="289"/>
      <c r="D524" s="289"/>
      <c r="E524" s="290"/>
      <c r="F524" s="289"/>
      <c r="H524" s="38"/>
      <c r="I524" s="23"/>
      <c r="J524" s="24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1.25" customHeight="1">
      <c r="A525" s="289"/>
      <c r="B525" s="289"/>
      <c r="C525" s="289"/>
      <c r="D525" s="289"/>
      <c r="E525" s="290"/>
      <c r="F525" s="289"/>
      <c r="H525" s="38"/>
      <c r="I525" s="23"/>
      <c r="J525" s="24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1.25" customHeight="1">
      <c r="A526" s="289"/>
      <c r="B526" s="289"/>
      <c r="C526" s="289"/>
      <c r="D526" s="289"/>
      <c r="E526" s="290"/>
      <c r="F526" s="289"/>
      <c r="H526" s="38"/>
      <c r="I526" s="23"/>
      <c r="J526" s="24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1.25" customHeight="1">
      <c r="A527" s="289"/>
      <c r="B527" s="289"/>
      <c r="C527" s="289"/>
      <c r="D527" s="289"/>
      <c r="E527" s="290"/>
      <c r="F527" s="289"/>
      <c r="H527" s="38"/>
      <c r="I527" s="23"/>
      <c r="J527" s="24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1.25" customHeight="1">
      <c r="A528" s="289"/>
      <c r="B528" s="289"/>
      <c r="C528" s="289"/>
      <c r="D528" s="289"/>
      <c r="E528" s="290"/>
      <c r="F528" s="289"/>
      <c r="H528" s="38"/>
      <c r="I528" s="23"/>
      <c r="J528" s="24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1.25" customHeight="1">
      <c r="A529" s="289"/>
      <c r="B529" s="289"/>
      <c r="C529" s="289"/>
      <c r="D529" s="289"/>
      <c r="E529" s="290"/>
      <c r="F529" s="289"/>
      <c r="H529" s="38"/>
      <c r="I529" s="23"/>
      <c r="J529" s="24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1.25" customHeight="1">
      <c r="A530" s="289"/>
      <c r="B530" s="289"/>
      <c r="C530" s="289"/>
      <c r="D530" s="289"/>
      <c r="E530" s="290"/>
      <c r="F530" s="289"/>
      <c r="H530" s="38"/>
      <c r="I530" s="23"/>
      <c r="J530" s="24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1.25" customHeight="1">
      <c r="A531" s="289"/>
      <c r="B531" s="289"/>
      <c r="C531" s="289"/>
      <c r="D531" s="289"/>
      <c r="E531" s="290"/>
      <c r="F531" s="289"/>
      <c r="H531" s="38"/>
      <c r="I531" s="23"/>
      <c r="J531" s="24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1.25" customHeight="1">
      <c r="A532" s="289"/>
      <c r="B532" s="289"/>
      <c r="C532" s="289"/>
      <c r="D532" s="289"/>
      <c r="E532" s="290"/>
      <c r="F532" s="289"/>
      <c r="H532" s="38"/>
      <c r="I532" s="23"/>
      <c r="J532" s="24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1.25" customHeight="1">
      <c r="A533" s="289"/>
      <c r="B533" s="289"/>
      <c r="C533" s="289"/>
      <c r="D533" s="289"/>
      <c r="E533" s="290"/>
      <c r="F533" s="289"/>
      <c r="H533" s="38"/>
      <c r="I533" s="23"/>
      <c r="J533" s="24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1.25" customHeight="1">
      <c r="A534" s="289"/>
      <c r="B534" s="289"/>
      <c r="C534" s="289"/>
      <c r="D534" s="289"/>
      <c r="E534" s="290"/>
      <c r="F534" s="289"/>
      <c r="H534" s="38"/>
      <c r="I534" s="23"/>
      <c r="J534" s="24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1.25" customHeight="1">
      <c r="A535" s="289"/>
      <c r="B535" s="289"/>
      <c r="C535" s="289"/>
      <c r="D535" s="289"/>
      <c r="E535" s="290"/>
      <c r="F535" s="289"/>
      <c r="H535" s="38"/>
      <c r="I535" s="23"/>
      <c r="J535" s="24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1.25" customHeight="1">
      <c r="A536" s="289"/>
      <c r="B536" s="289"/>
      <c r="C536" s="289"/>
      <c r="D536" s="289"/>
      <c r="E536" s="290"/>
      <c r="F536" s="289"/>
      <c r="H536" s="38"/>
      <c r="I536" s="23"/>
      <c r="J536" s="24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1.25" customHeight="1">
      <c r="A537" s="289"/>
      <c r="B537" s="289"/>
      <c r="C537" s="289"/>
      <c r="D537" s="289"/>
      <c r="E537" s="290"/>
      <c r="F537" s="289"/>
      <c r="H537" s="38"/>
      <c r="I537" s="23"/>
      <c r="J537" s="24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1.25" customHeight="1">
      <c r="A538" s="289"/>
      <c r="B538" s="289"/>
      <c r="C538" s="289"/>
      <c r="D538" s="289"/>
      <c r="E538" s="290"/>
      <c r="F538" s="289"/>
      <c r="H538" s="38"/>
      <c r="I538" s="23"/>
      <c r="J538" s="24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1.25" customHeight="1">
      <c r="A539" s="289"/>
      <c r="B539" s="289"/>
      <c r="C539" s="289"/>
      <c r="D539" s="289"/>
      <c r="E539" s="290"/>
      <c r="F539" s="289"/>
      <c r="H539" s="38"/>
      <c r="I539" s="23"/>
      <c r="J539" s="24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1.25" customHeight="1">
      <c r="A540" s="289"/>
      <c r="B540" s="289"/>
      <c r="C540" s="289"/>
      <c r="D540" s="289"/>
      <c r="E540" s="290"/>
      <c r="F540" s="289"/>
      <c r="H540" s="38"/>
      <c r="I540" s="23"/>
      <c r="J540" s="24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1.25" customHeight="1">
      <c r="A541" s="289"/>
      <c r="B541" s="289"/>
      <c r="C541" s="289"/>
      <c r="D541" s="289"/>
      <c r="E541" s="290"/>
      <c r="F541" s="289"/>
      <c r="H541" s="38"/>
      <c r="I541" s="23"/>
      <c r="J541" s="24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1.25" customHeight="1">
      <c r="A542" s="289"/>
      <c r="B542" s="289"/>
      <c r="C542" s="289"/>
      <c r="D542" s="289"/>
      <c r="E542" s="290"/>
      <c r="F542" s="289"/>
      <c r="H542" s="38"/>
      <c r="I542" s="23"/>
      <c r="J542" s="24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1.25" customHeight="1">
      <c r="A543" s="289"/>
      <c r="B543" s="289"/>
      <c r="C543" s="289"/>
      <c r="D543" s="289"/>
      <c r="E543" s="290"/>
      <c r="F543" s="289"/>
      <c r="H543" s="38"/>
      <c r="I543" s="23"/>
      <c r="J543" s="24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1.25" customHeight="1">
      <c r="A544" s="289"/>
      <c r="B544" s="289"/>
      <c r="C544" s="289"/>
      <c r="D544" s="289"/>
      <c r="E544" s="290"/>
      <c r="F544" s="289"/>
      <c r="H544" s="38"/>
      <c r="I544" s="23"/>
      <c r="J544" s="24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1.25" customHeight="1">
      <c r="A545" s="289"/>
      <c r="B545" s="289"/>
      <c r="C545" s="289"/>
      <c r="D545" s="289"/>
      <c r="E545" s="290"/>
      <c r="F545" s="289"/>
      <c r="H545" s="38"/>
      <c r="I545" s="23"/>
      <c r="J545" s="24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1.25" customHeight="1">
      <c r="A546" s="289"/>
      <c r="B546" s="289"/>
      <c r="C546" s="289"/>
      <c r="D546" s="289"/>
      <c r="E546" s="290"/>
      <c r="F546" s="289"/>
      <c r="H546" s="38"/>
      <c r="I546" s="23"/>
      <c r="J546" s="24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1.25" customHeight="1">
      <c r="A547" s="289"/>
      <c r="B547" s="289"/>
      <c r="C547" s="289"/>
      <c r="D547" s="289"/>
      <c r="E547" s="290"/>
      <c r="F547" s="289"/>
      <c r="H547" s="38"/>
      <c r="I547" s="23"/>
      <c r="J547" s="24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1.25" customHeight="1">
      <c r="A548" s="289"/>
      <c r="B548" s="289"/>
      <c r="C548" s="289"/>
      <c r="D548" s="289"/>
      <c r="E548" s="290"/>
      <c r="F548" s="289"/>
      <c r="H548" s="38"/>
      <c r="I548" s="23"/>
      <c r="J548" s="24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1.25" customHeight="1">
      <c r="A549" s="289"/>
      <c r="B549" s="289"/>
      <c r="C549" s="289"/>
      <c r="D549" s="289"/>
      <c r="E549" s="290"/>
      <c r="F549" s="289"/>
      <c r="H549" s="38"/>
      <c r="I549" s="23"/>
      <c r="J549" s="24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1.25" customHeight="1">
      <c r="A550" s="289"/>
      <c r="B550" s="289"/>
      <c r="C550" s="289"/>
      <c r="D550" s="289"/>
      <c r="E550" s="290"/>
      <c r="F550" s="289"/>
      <c r="H550" s="38"/>
      <c r="I550" s="23"/>
      <c r="J550" s="24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1.25" customHeight="1">
      <c r="A551" s="289"/>
      <c r="B551" s="289"/>
      <c r="C551" s="289"/>
      <c r="D551" s="289"/>
      <c r="E551" s="290"/>
      <c r="F551" s="289"/>
      <c r="H551" s="38"/>
      <c r="I551" s="23"/>
      <c r="J551" s="24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1.25" customHeight="1">
      <c r="A552" s="289"/>
      <c r="B552" s="289"/>
      <c r="C552" s="289"/>
      <c r="D552" s="289"/>
      <c r="E552" s="290"/>
      <c r="F552" s="289"/>
      <c r="H552" s="38"/>
      <c r="I552" s="23"/>
      <c r="J552" s="24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1.25" customHeight="1">
      <c r="A553" s="289"/>
      <c r="B553" s="289"/>
      <c r="C553" s="289"/>
      <c r="D553" s="289"/>
      <c r="E553" s="290"/>
      <c r="F553" s="289"/>
      <c r="H553" s="38"/>
      <c r="I553" s="23"/>
      <c r="J553" s="24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1.25" customHeight="1">
      <c r="A554" s="289"/>
      <c r="B554" s="289"/>
      <c r="C554" s="289"/>
      <c r="D554" s="289"/>
      <c r="E554" s="290"/>
      <c r="F554" s="289"/>
      <c r="H554" s="38"/>
      <c r="I554" s="23"/>
      <c r="J554" s="24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1.25" customHeight="1">
      <c r="A555" s="289"/>
      <c r="B555" s="289"/>
      <c r="C555" s="289"/>
      <c r="D555" s="289"/>
      <c r="E555" s="290"/>
      <c r="F555" s="289"/>
      <c r="H555" s="38"/>
      <c r="I555" s="23"/>
      <c r="J555" s="24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1.25" customHeight="1">
      <c r="A556" s="289"/>
      <c r="B556" s="289"/>
      <c r="C556" s="289"/>
      <c r="D556" s="289"/>
      <c r="E556" s="290"/>
      <c r="F556" s="289"/>
      <c r="H556" s="38"/>
      <c r="I556" s="23"/>
      <c r="J556" s="24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1.25" customHeight="1">
      <c r="A557" s="289"/>
      <c r="B557" s="289"/>
      <c r="C557" s="289"/>
      <c r="D557" s="289"/>
      <c r="E557" s="290"/>
      <c r="F557" s="289"/>
      <c r="H557" s="38"/>
      <c r="I557" s="23"/>
      <c r="J557" s="24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1.25" customHeight="1">
      <c r="A558" s="289"/>
      <c r="B558" s="289"/>
      <c r="C558" s="289"/>
      <c r="D558" s="289"/>
      <c r="E558" s="290"/>
      <c r="F558" s="289"/>
      <c r="H558" s="38"/>
      <c r="I558" s="23"/>
      <c r="J558" s="24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1.25" customHeight="1">
      <c r="A559" s="289"/>
      <c r="B559" s="289"/>
      <c r="C559" s="289"/>
      <c r="D559" s="289"/>
      <c r="E559" s="290"/>
      <c r="F559" s="289"/>
      <c r="H559" s="38"/>
      <c r="I559" s="23"/>
      <c r="J559" s="24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1.25" customHeight="1">
      <c r="A560" s="289"/>
      <c r="B560" s="289"/>
      <c r="C560" s="289"/>
      <c r="D560" s="289"/>
      <c r="E560" s="290"/>
      <c r="F560" s="289"/>
      <c r="H560" s="38"/>
      <c r="I560" s="23"/>
      <c r="J560" s="24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1.25" customHeight="1">
      <c r="A561" s="289"/>
      <c r="B561" s="289"/>
      <c r="C561" s="289"/>
      <c r="D561" s="289"/>
      <c r="E561" s="290"/>
      <c r="F561" s="289"/>
      <c r="H561" s="38"/>
      <c r="I561" s="23"/>
      <c r="J561" s="24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1.25" customHeight="1">
      <c r="A562" s="289"/>
      <c r="B562" s="289"/>
      <c r="C562" s="289"/>
      <c r="D562" s="289"/>
      <c r="E562" s="290"/>
      <c r="F562" s="289"/>
      <c r="H562" s="38"/>
      <c r="I562" s="23"/>
      <c r="J562" s="24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1.25" customHeight="1">
      <c r="A563" s="289"/>
      <c r="B563" s="289"/>
      <c r="C563" s="289"/>
      <c r="D563" s="289"/>
      <c r="E563" s="290"/>
      <c r="F563" s="289"/>
      <c r="H563" s="38"/>
      <c r="I563" s="23"/>
      <c r="J563" s="24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1.25" customHeight="1">
      <c r="A564" s="289"/>
      <c r="B564" s="289"/>
      <c r="C564" s="289"/>
      <c r="D564" s="289"/>
      <c r="E564" s="290"/>
      <c r="F564" s="289"/>
      <c r="H564" s="38"/>
      <c r="I564" s="23"/>
      <c r="J564" s="24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1.25" customHeight="1">
      <c r="A565" s="289"/>
      <c r="B565" s="289"/>
      <c r="C565" s="289"/>
      <c r="D565" s="289"/>
      <c r="E565" s="290"/>
      <c r="F565" s="289"/>
      <c r="H565" s="38"/>
      <c r="I565" s="23"/>
      <c r="J565" s="24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1.25" customHeight="1">
      <c r="A566" s="289"/>
      <c r="B566" s="289"/>
      <c r="C566" s="289"/>
      <c r="D566" s="289"/>
      <c r="E566" s="290"/>
      <c r="F566" s="289"/>
      <c r="H566" s="38"/>
      <c r="I566" s="23"/>
      <c r="J566" s="24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1.25" customHeight="1">
      <c r="A567" s="289"/>
      <c r="B567" s="289"/>
      <c r="C567" s="289"/>
      <c r="D567" s="289"/>
      <c r="E567" s="290"/>
      <c r="F567" s="289"/>
      <c r="H567" s="38"/>
      <c r="I567" s="23"/>
      <c r="J567" s="24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1.25" customHeight="1">
      <c r="A568" s="289"/>
      <c r="B568" s="289"/>
      <c r="C568" s="289"/>
      <c r="D568" s="289"/>
      <c r="E568" s="290"/>
      <c r="F568" s="289"/>
      <c r="H568" s="38"/>
      <c r="I568" s="23"/>
      <c r="J568" s="24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1.25" customHeight="1">
      <c r="A569" s="289"/>
      <c r="B569" s="289"/>
      <c r="C569" s="289"/>
      <c r="D569" s="289"/>
      <c r="E569" s="290"/>
      <c r="F569" s="289"/>
      <c r="H569" s="38"/>
      <c r="I569" s="23"/>
      <c r="J569" s="24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1.25" customHeight="1">
      <c r="A570" s="289"/>
      <c r="B570" s="289"/>
      <c r="C570" s="289"/>
      <c r="D570" s="289"/>
      <c r="E570" s="290"/>
      <c r="F570" s="289"/>
      <c r="H570" s="38"/>
      <c r="I570" s="23"/>
      <c r="J570" s="24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1.25" customHeight="1">
      <c r="A571" s="289"/>
      <c r="B571" s="289"/>
      <c r="C571" s="289"/>
      <c r="D571" s="289"/>
      <c r="E571" s="290"/>
      <c r="F571" s="289"/>
      <c r="H571" s="38"/>
      <c r="I571" s="23"/>
      <c r="J571" s="24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1.25" customHeight="1">
      <c r="A572" s="289"/>
      <c r="B572" s="289"/>
      <c r="C572" s="289"/>
      <c r="D572" s="289"/>
      <c r="E572" s="290"/>
      <c r="F572" s="289"/>
      <c r="H572" s="38"/>
      <c r="I572" s="23"/>
      <c r="J572" s="24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1.25" customHeight="1">
      <c r="A573" s="289"/>
      <c r="B573" s="289"/>
      <c r="C573" s="289"/>
      <c r="D573" s="289"/>
      <c r="E573" s="290"/>
      <c r="F573" s="289"/>
      <c r="H573" s="38"/>
      <c r="I573" s="23"/>
      <c r="J573" s="24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1.25" customHeight="1">
      <c r="A574" s="289"/>
      <c r="B574" s="289"/>
      <c r="C574" s="289"/>
      <c r="D574" s="289"/>
      <c r="E574" s="290"/>
      <c r="F574" s="289"/>
      <c r="H574" s="38"/>
      <c r="I574" s="23"/>
      <c r="J574" s="24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1.25" customHeight="1">
      <c r="A575" s="289"/>
      <c r="B575" s="289"/>
      <c r="C575" s="289"/>
      <c r="D575" s="289"/>
      <c r="E575" s="290"/>
      <c r="F575" s="289"/>
      <c r="H575" s="38"/>
      <c r="I575" s="23"/>
      <c r="J575" s="24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1.25" customHeight="1">
      <c r="A576" s="289"/>
      <c r="B576" s="289"/>
      <c r="C576" s="289"/>
      <c r="D576" s="289"/>
      <c r="E576" s="290"/>
      <c r="F576" s="289"/>
      <c r="H576" s="38"/>
      <c r="I576" s="23"/>
      <c r="J576" s="24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1.25" customHeight="1">
      <c r="A577" s="289"/>
      <c r="B577" s="289"/>
      <c r="C577" s="289"/>
      <c r="D577" s="289"/>
      <c r="E577" s="290"/>
      <c r="F577" s="289"/>
      <c r="H577" s="38"/>
      <c r="I577" s="23"/>
      <c r="J577" s="24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1.25" customHeight="1">
      <c r="A578" s="289"/>
      <c r="B578" s="289"/>
      <c r="C578" s="289"/>
      <c r="D578" s="289"/>
      <c r="E578" s="290"/>
      <c r="F578" s="289"/>
      <c r="H578" s="38"/>
      <c r="I578" s="23"/>
      <c r="J578" s="24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1.25" customHeight="1">
      <c r="A579" s="289"/>
      <c r="B579" s="289"/>
      <c r="C579" s="289"/>
      <c r="D579" s="289"/>
      <c r="E579" s="290"/>
      <c r="F579" s="289"/>
      <c r="H579" s="38"/>
      <c r="I579" s="23"/>
      <c r="J579" s="24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1.25" customHeight="1">
      <c r="A580" s="289"/>
      <c r="B580" s="289"/>
      <c r="C580" s="289"/>
      <c r="D580" s="289"/>
      <c r="E580" s="290"/>
      <c r="F580" s="289"/>
      <c r="H580" s="38"/>
      <c r="I580" s="23"/>
      <c r="J580" s="24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1.25" customHeight="1">
      <c r="A581" s="289"/>
      <c r="B581" s="289"/>
      <c r="C581" s="289"/>
      <c r="D581" s="289"/>
      <c r="E581" s="290"/>
      <c r="F581" s="289"/>
      <c r="H581" s="38"/>
      <c r="I581" s="23"/>
      <c r="J581" s="24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1.25" customHeight="1">
      <c r="A582" s="289"/>
      <c r="B582" s="289"/>
      <c r="C582" s="289"/>
      <c r="D582" s="289"/>
      <c r="E582" s="290"/>
      <c r="F582" s="289"/>
      <c r="H582" s="38"/>
      <c r="I582" s="23"/>
      <c r="J582" s="24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1.25" customHeight="1">
      <c r="A583" s="289"/>
      <c r="B583" s="289"/>
      <c r="C583" s="289"/>
      <c r="D583" s="289"/>
      <c r="E583" s="290"/>
      <c r="F583" s="289"/>
      <c r="H583" s="38"/>
      <c r="I583" s="23"/>
      <c r="J583" s="24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1.25" customHeight="1">
      <c r="A584" s="289"/>
      <c r="B584" s="289"/>
      <c r="C584" s="289"/>
      <c r="D584" s="289"/>
      <c r="E584" s="290"/>
      <c r="F584" s="289"/>
      <c r="H584" s="38"/>
      <c r="I584" s="23"/>
      <c r="J584" s="24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1.25" customHeight="1">
      <c r="A585" s="289"/>
      <c r="B585" s="289"/>
      <c r="C585" s="289"/>
      <c r="D585" s="289"/>
      <c r="E585" s="290"/>
      <c r="F585" s="289"/>
      <c r="H585" s="38"/>
      <c r="I585" s="23"/>
      <c r="J585" s="24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1.25" customHeight="1">
      <c r="A586" s="289"/>
      <c r="B586" s="289"/>
      <c r="C586" s="289"/>
      <c r="D586" s="289"/>
      <c r="E586" s="290"/>
      <c r="F586" s="289"/>
      <c r="H586" s="38"/>
      <c r="I586" s="23"/>
      <c r="J586" s="24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1.25" customHeight="1">
      <c r="A587" s="289"/>
      <c r="B587" s="289"/>
      <c r="C587" s="289"/>
      <c r="D587" s="289"/>
      <c r="E587" s="290"/>
      <c r="F587" s="289"/>
      <c r="H587" s="38"/>
      <c r="I587" s="23"/>
      <c r="J587" s="24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1.25" customHeight="1">
      <c r="A588" s="289"/>
      <c r="B588" s="289"/>
      <c r="C588" s="289"/>
      <c r="D588" s="289"/>
      <c r="E588" s="290"/>
      <c r="F588" s="289"/>
      <c r="H588" s="38"/>
      <c r="I588" s="23"/>
      <c r="J588" s="24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1.25" customHeight="1">
      <c r="A589" s="289"/>
      <c r="B589" s="289"/>
      <c r="C589" s="289"/>
      <c r="D589" s="289"/>
      <c r="E589" s="290"/>
      <c r="F589" s="289"/>
      <c r="H589" s="38"/>
      <c r="I589" s="23"/>
      <c r="J589" s="24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1.25" customHeight="1">
      <c r="A590" s="289"/>
      <c r="B590" s="289"/>
      <c r="C590" s="289"/>
      <c r="D590" s="289"/>
      <c r="E590" s="290"/>
      <c r="F590" s="289"/>
      <c r="H590" s="38"/>
      <c r="I590" s="23"/>
      <c r="J590" s="24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1.25" customHeight="1">
      <c r="A591" s="289"/>
      <c r="B591" s="289"/>
      <c r="C591" s="289"/>
      <c r="D591" s="289"/>
      <c r="E591" s="290"/>
      <c r="F591" s="289"/>
      <c r="H591" s="38"/>
      <c r="I591" s="23"/>
      <c r="J591" s="24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1.25" customHeight="1">
      <c r="A592" s="289"/>
      <c r="B592" s="289"/>
      <c r="C592" s="289"/>
      <c r="D592" s="289"/>
      <c r="E592" s="290"/>
      <c r="F592" s="289"/>
      <c r="H592" s="38"/>
      <c r="I592" s="23"/>
      <c r="J592" s="24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1.25" customHeight="1">
      <c r="A593" s="289"/>
      <c r="B593" s="289"/>
      <c r="C593" s="289"/>
      <c r="D593" s="289"/>
      <c r="E593" s="290"/>
      <c r="F593" s="289"/>
      <c r="H593" s="38"/>
      <c r="I593" s="23"/>
      <c r="J593" s="24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1.25" customHeight="1">
      <c r="A594" s="289"/>
      <c r="B594" s="289"/>
      <c r="C594" s="289"/>
      <c r="D594" s="289"/>
      <c r="E594" s="290"/>
      <c r="F594" s="289"/>
      <c r="H594" s="38"/>
      <c r="I594" s="23"/>
      <c r="J594" s="24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1.25" customHeight="1">
      <c r="A595" s="289"/>
      <c r="B595" s="289"/>
      <c r="C595" s="289"/>
      <c r="D595" s="289"/>
      <c r="E595" s="290"/>
      <c r="F595" s="289"/>
      <c r="H595" s="38"/>
      <c r="I595" s="23"/>
      <c r="J595" s="24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1.25" customHeight="1">
      <c r="A596" s="289"/>
      <c r="B596" s="289"/>
      <c r="C596" s="289"/>
      <c r="D596" s="289"/>
      <c r="E596" s="290"/>
      <c r="F596" s="289"/>
      <c r="H596" s="38"/>
      <c r="I596" s="23"/>
      <c r="J596" s="24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1.25" customHeight="1">
      <c r="A597" s="289"/>
      <c r="B597" s="289"/>
      <c r="C597" s="289"/>
      <c r="D597" s="289"/>
      <c r="E597" s="290"/>
      <c r="F597" s="289"/>
      <c r="H597" s="38"/>
      <c r="I597" s="23"/>
      <c r="J597" s="24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1.25" customHeight="1">
      <c r="A598" s="289"/>
      <c r="B598" s="289"/>
      <c r="C598" s="289"/>
      <c r="D598" s="289"/>
      <c r="E598" s="290"/>
      <c r="F598" s="289"/>
      <c r="H598" s="38"/>
      <c r="I598" s="23"/>
      <c r="J598" s="24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1.25" customHeight="1">
      <c r="A599" s="289"/>
      <c r="B599" s="289"/>
      <c r="C599" s="289"/>
      <c r="D599" s="289"/>
      <c r="E599" s="290"/>
      <c r="F599" s="289"/>
      <c r="H599" s="38"/>
      <c r="I599" s="23"/>
      <c r="J599" s="24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1.25" customHeight="1">
      <c r="A600" s="289"/>
      <c r="B600" s="289"/>
      <c r="C600" s="289"/>
      <c r="D600" s="289"/>
      <c r="E600" s="290"/>
      <c r="F600" s="289"/>
      <c r="H600" s="38"/>
      <c r="I600" s="23"/>
      <c r="J600" s="24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1.25" customHeight="1">
      <c r="A601" s="289"/>
      <c r="B601" s="289"/>
      <c r="C601" s="289"/>
      <c r="D601" s="289"/>
      <c r="E601" s="290"/>
      <c r="F601" s="289"/>
      <c r="H601" s="38"/>
      <c r="I601" s="23"/>
      <c r="J601" s="24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1.25" customHeight="1">
      <c r="A602" s="289"/>
      <c r="B602" s="289"/>
      <c r="C602" s="289"/>
      <c r="D602" s="289"/>
      <c r="E602" s="290"/>
      <c r="F602" s="289"/>
      <c r="H602" s="38"/>
      <c r="I602" s="23"/>
      <c r="J602" s="24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1.25" customHeight="1">
      <c r="A603" s="289"/>
      <c r="B603" s="289"/>
      <c r="C603" s="289"/>
      <c r="D603" s="289"/>
      <c r="E603" s="290"/>
      <c r="F603" s="289"/>
      <c r="H603" s="38"/>
      <c r="I603" s="23"/>
      <c r="J603" s="24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1.25" customHeight="1">
      <c r="A604" s="289"/>
      <c r="B604" s="289"/>
      <c r="C604" s="289"/>
      <c r="D604" s="289"/>
      <c r="E604" s="290"/>
      <c r="F604" s="289"/>
      <c r="H604" s="38"/>
      <c r="I604" s="23"/>
      <c r="J604" s="24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1.25" customHeight="1">
      <c r="A605" s="289"/>
      <c r="B605" s="289"/>
      <c r="C605" s="289"/>
      <c r="D605" s="289"/>
      <c r="E605" s="290"/>
      <c r="F605" s="289"/>
      <c r="H605" s="38"/>
      <c r="I605" s="23"/>
      <c r="J605" s="24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1.25" customHeight="1">
      <c r="A606" s="289"/>
      <c r="B606" s="289"/>
      <c r="C606" s="289"/>
      <c r="D606" s="289"/>
      <c r="E606" s="290"/>
      <c r="F606" s="289"/>
      <c r="H606" s="38"/>
      <c r="I606" s="23"/>
      <c r="J606" s="24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1.25" customHeight="1">
      <c r="A607" s="289"/>
      <c r="B607" s="289"/>
      <c r="C607" s="289"/>
      <c r="D607" s="289"/>
      <c r="E607" s="290"/>
      <c r="F607" s="289"/>
      <c r="H607" s="38"/>
      <c r="I607" s="23"/>
      <c r="J607" s="24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1.25" customHeight="1">
      <c r="A608" s="289"/>
      <c r="B608" s="289"/>
      <c r="C608" s="289"/>
      <c r="D608" s="289"/>
      <c r="E608" s="290"/>
      <c r="F608" s="289"/>
      <c r="H608" s="38"/>
      <c r="I608" s="23"/>
      <c r="J608" s="24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1.25" customHeight="1">
      <c r="A609" s="289"/>
      <c r="B609" s="289"/>
      <c r="C609" s="289"/>
      <c r="D609" s="289"/>
      <c r="E609" s="290"/>
      <c r="F609" s="289"/>
      <c r="H609" s="38"/>
      <c r="I609" s="23"/>
      <c r="J609" s="24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1.25" customHeight="1">
      <c r="A610" s="289"/>
      <c r="B610" s="289"/>
      <c r="C610" s="289"/>
      <c r="D610" s="289"/>
      <c r="E610" s="290"/>
      <c r="F610" s="289"/>
      <c r="H610" s="38"/>
      <c r="I610" s="23"/>
      <c r="J610" s="24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1.25" customHeight="1">
      <c r="A611" s="289"/>
      <c r="B611" s="289"/>
      <c r="C611" s="289"/>
      <c r="D611" s="289"/>
      <c r="E611" s="290"/>
      <c r="F611" s="289"/>
      <c r="H611" s="38"/>
      <c r="I611" s="23"/>
      <c r="J611" s="24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1.25" customHeight="1">
      <c r="A612" s="289"/>
      <c r="B612" s="289"/>
      <c r="C612" s="289"/>
      <c r="D612" s="289"/>
      <c r="E612" s="290"/>
      <c r="F612" s="289"/>
      <c r="H612" s="38"/>
      <c r="I612" s="23"/>
      <c r="J612" s="24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1.25" customHeight="1">
      <c r="A613" s="289"/>
      <c r="B613" s="289"/>
      <c r="C613" s="289"/>
      <c r="D613" s="289"/>
      <c r="E613" s="290"/>
      <c r="F613" s="289"/>
      <c r="H613" s="38"/>
      <c r="I613" s="23"/>
      <c r="J613" s="24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1.25" customHeight="1">
      <c r="A614" s="289"/>
      <c r="B614" s="289"/>
      <c r="C614" s="289"/>
      <c r="D614" s="289"/>
      <c r="E614" s="290"/>
      <c r="F614" s="289"/>
      <c r="H614" s="38"/>
      <c r="I614" s="23"/>
      <c r="J614" s="24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1.25" customHeight="1">
      <c r="A615" s="289"/>
      <c r="B615" s="289"/>
      <c r="C615" s="289"/>
      <c r="D615" s="289"/>
      <c r="E615" s="290"/>
      <c r="F615" s="289"/>
      <c r="H615" s="38"/>
      <c r="I615" s="23"/>
      <c r="J615" s="24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1.25" customHeight="1">
      <c r="A616" s="289"/>
      <c r="B616" s="289"/>
      <c r="C616" s="289"/>
      <c r="D616" s="289"/>
      <c r="E616" s="290"/>
      <c r="F616" s="289"/>
      <c r="H616" s="38"/>
      <c r="I616" s="23"/>
      <c r="J616" s="24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1.25" customHeight="1">
      <c r="A617" s="289"/>
      <c r="B617" s="289"/>
      <c r="C617" s="289"/>
      <c r="D617" s="289"/>
      <c r="E617" s="290"/>
      <c r="F617" s="289"/>
      <c r="H617" s="38"/>
      <c r="I617" s="23"/>
      <c r="J617" s="24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1.25" customHeight="1">
      <c r="A618" s="289"/>
      <c r="B618" s="289"/>
      <c r="C618" s="289"/>
      <c r="D618" s="289"/>
      <c r="E618" s="290"/>
      <c r="F618" s="289"/>
      <c r="H618" s="38"/>
      <c r="I618" s="23"/>
      <c r="J618" s="24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1.25" customHeight="1">
      <c r="A619" s="289"/>
      <c r="B619" s="289"/>
      <c r="C619" s="289"/>
      <c r="D619" s="289"/>
      <c r="E619" s="290"/>
      <c r="F619" s="289"/>
      <c r="H619" s="38"/>
      <c r="I619" s="23"/>
      <c r="J619" s="24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1.25" customHeight="1">
      <c r="A620" s="289"/>
      <c r="B620" s="289"/>
      <c r="C620" s="289"/>
      <c r="D620" s="289"/>
      <c r="E620" s="290"/>
      <c r="F620" s="289"/>
      <c r="H620" s="38"/>
      <c r="I620" s="23"/>
      <c r="J620" s="24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1.25" customHeight="1">
      <c r="A621" s="289"/>
      <c r="B621" s="289"/>
      <c r="C621" s="289"/>
      <c r="D621" s="289"/>
      <c r="E621" s="290"/>
      <c r="F621" s="289"/>
      <c r="H621" s="38"/>
      <c r="I621" s="23"/>
      <c r="J621" s="24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1.25" customHeight="1">
      <c r="A622" s="289"/>
      <c r="B622" s="289"/>
      <c r="C622" s="289"/>
      <c r="D622" s="289"/>
      <c r="E622" s="290"/>
      <c r="F622" s="289"/>
      <c r="H622" s="38"/>
      <c r="I622" s="23"/>
      <c r="J622" s="24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1.25" customHeight="1">
      <c r="A623" s="289"/>
      <c r="B623" s="289"/>
      <c r="C623" s="289"/>
      <c r="D623" s="289"/>
      <c r="E623" s="290"/>
      <c r="F623" s="289"/>
      <c r="H623" s="38"/>
      <c r="I623" s="23"/>
      <c r="J623" s="24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1.25" customHeight="1">
      <c r="A624" s="289"/>
      <c r="B624" s="289"/>
      <c r="C624" s="289"/>
      <c r="D624" s="289"/>
      <c r="E624" s="290"/>
      <c r="F624" s="289"/>
      <c r="H624" s="38"/>
      <c r="I624" s="23"/>
      <c r="J624" s="24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1.25" customHeight="1">
      <c r="A625" s="289"/>
      <c r="B625" s="289"/>
      <c r="C625" s="289"/>
      <c r="D625" s="289"/>
      <c r="E625" s="290"/>
      <c r="F625" s="289"/>
      <c r="H625" s="38"/>
      <c r="I625" s="23"/>
      <c r="J625" s="24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1.25" customHeight="1">
      <c r="A626" s="289"/>
      <c r="B626" s="289"/>
      <c r="C626" s="289"/>
      <c r="D626" s="289"/>
      <c r="E626" s="290"/>
      <c r="F626" s="289"/>
      <c r="H626" s="38"/>
      <c r="I626" s="23"/>
      <c r="J626" s="24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1.25" customHeight="1">
      <c r="A627" s="289"/>
      <c r="B627" s="289"/>
      <c r="C627" s="289"/>
      <c r="D627" s="289"/>
      <c r="E627" s="290"/>
      <c r="F627" s="289"/>
      <c r="H627" s="38"/>
      <c r="I627" s="23"/>
      <c r="J627" s="24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1.25" customHeight="1">
      <c r="A628" s="289"/>
      <c r="B628" s="289"/>
      <c r="C628" s="289"/>
      <c r="D628" s="289"/>
      <c r="E628" s="290"/>
      <c r="F628" s="289"/>
      <c r="H628" s="38"/>
      <c r="I628" s="23"/>
      <c r="J628" s="24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1.25" customHeight="1">
      <c r="A629" s="289"/>
      <c r="B629" s="289"/>
      <c r="C629" s="289"/>
      <c r="D629" s="289"/>
      <c r="E629" s="290"/>
      <c r="F629" s="289"/>
      <c r="H629" s="38"/>
      <c r="I629" s="23"/>
      <c r="J629" s="24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1.25" customHeight="1">
      <c r="A630" s="289"/>
      <c r="B630" s="289"/>
      <c r="C630" s="289"/>
      <c r="D630" s="289"/>
      <c r="E630" s="290"/>
      <c r="F630" s="289"/>
      <c r="H630" s="38"/>
      <c r="I630" s="23"/>
      <c r="J630" s="24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1.25" customHeight="1">
      <c r="A631" s="289"/>
      <c r="B631" s="289"/>
      <c r="C631" s="289"/>
      <c r="D631" s="289"/>
      <c r="E631" s="290"/>
      <c r="F631" s="289"/>
      <c r="H631" s="38"/>
      <c r="I631" s="23"/>
      <c r="J631" s="24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1.25" customHeight="1">
      <c r="A632" s="289"/>
      <c r="B632" s="289"/>
      <c r="C632" s="289"/>
      <c r="D632" s="289"/>
      <c r="E632" s="290"/>
      <c r="F632" s="289"/>
      <c r="H632" s="38"/>
      <c r="I632" s="23"/>
      <c r="J632" s="24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1.25" customHeight="1">
      <c r="A633" s="289"/>
      <c r="B633" s="289"/>
      <c r="C633" s="289"/>
      <c r="D633" s="289"/>
      <c r="E633" s="290"/>
      <c r="F633" s="289"/>
      <c r="H633" s="38"/>
      <c r="I633" s="23"/>
      <c r="J633" s="24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1.25" customHeight="1">
      <c r="A634" s="289"/>
      <c r="B634" s="289"/>
      <c r="C634" s="289"/>
      <c r="D634" s="289"/>
      <c r="E634" s="290"/>
      <c r="F634" s="289"/>
      <c r="H634" s="38"/>
      <c r="I634" s="23"/>
      <c r="J634" s="24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1.25" customHeight="1">
      <c r="A635" s="289"/>
      <c r="B635" s="289"/>
      <c r="C635" s="289"/>
      <c r="D635" s="289"/>
      <c r="E635" s="290"/>
      <c r="F635" s="289"/>
      <c r="H635" s="38"/>
      <c r="I635" s="23"/>
      <c r="J635" s="24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1.25" customHeight="1">
      <c r="A636" s="289"/>
      <c r="B636" s="289"/>
      <c r="C636" s="289"/>
      <c r="D636" s="289"/>
      <c r="E636" s="290"/>
      <c r="F636" s="289"/>
      <c r="H636" s="38"/>
      <c r="I636" s="23"/>
      <c r="J636" s="24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1.25" customHeight="1">
      <c r="A637" s="289"/>
      <c r="B637" s="289"/>
      <c r="C637" s="289"/>
      <c r="D637" s="289"/>
      <c r="E637" s="290"/>
      <c r="F637" s="289"/>
      <c r="H637" s="38"/>
      <c r="I637" s="23"/>
      <c r="J637" s="24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1.25" customHeight="1">
      <c r="A638" s="289"/>
      <c r="B638" s="289"/>
      <c r="C638" s="289"/>
      <c r="D638" s="289"/>
      <c r="E638" s="290"/>
      <c r="F638" s="289"/>
      <c r="H638" s="38"/>
      <c r="I638" s="23"/>
      <c r="J638" s="24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1.25" customHeight="1">
      <c r="A639" s="289"/>
      <c r="B639" s="289"/>
      <c r="C639" s="289"/>
      <c r="D639" s="289"/>
      <c r="E639" s="290"/>
      <c r="F639" s="289"/>
      <c r="H639" s="38"/>
      <c r="I639" s="23"/>
      <c r="J639" s="24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1.25" customHeight="1">
      <c r="A640" s="289"/>
      <c r="B640" s="289"/>
      <c r="C640" s="289"/>
      <c r="D640" s="289"/>
      <c r="E640" s="290"/>
      <c r="F640" s="289"/>
      <c r="H640" s="38"/>
      <c r="I640" s="23"/>
      <c r="J640" s="24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1.25" customHeight="1">
      <c r="A641" s="289"/>
      <c r="B641" s="289"/>
      <c r="C641" s="289"/>
      <c r="D641" s="289"/>
      <c r="E641" s="290"/>
      <c r="F641" s="289"/>
      <c r="H641" s="38"/>
      <c r="I641" s="23"/>
      <c r="J641" s="24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1.25" customHeight="1">
      <c r="A642" s="289"/>
      <c r="B642" s="289"/>
      <c r="C642" s="289"/>
      <c r="D642" s="289"/>
      <c r="E642" s="290"/>
      <c r="F642" s="289"/>
      <c r="H642" s="38"/>
      <c r="I642" s="23"/>
      <c r="J642" s="24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1.25" customHeight="1">
      <c r="A643" s="289"/>
      <c r="B643" s="289"/>
      <c r="C643" s="289"/>
      <c r="D643" s="289"/>
      <c r="E643" s="290"/>
      <c r="F643" s="289"/>
      <c r="H643" s="38"/>
      <c r="I643" s="23"/>
      <c r="J643" s="24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1.25" customHeight="1">
      <c r="A644" s="289"/>
      <c r="B644" s="289"/>
      <c r="C644" s="289"/>
      <c r="D644" s="289"/>
      <c r="E644" s="290"/>
      <c r="F644" s="289"/>
      <c r="H644" s="38"/>
      <c r="I644" s="23"/>
      <c r="J644" s="24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1.25" customHeight="1">
      <c r="A645" s="289"/>
      <c r="B645" s="289"/>
      <c r="C645" s="289"/>
      <c r="D645" s="289"/>
      <c r="E645" s="290"/>
      <c r="F645" s="289"/>
      <c r="H645" s="38"/>
      <c r="I645" s="23"/>
      <c r="J645" s="24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1.25" customHeight="1">
      <c r="A646" s="289"/>
      <c r="B646" s="289"/>
      <c r="C646" s="289"/>
      <c r="D646" s="289"/>
      <c r="E646" s="290"/>
      <c r="F646" s="289"/>
      <c r="H646" s="38"/>
      <c r="I646" s="23"/>
      <c r="J646" s="24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1.25" customHeight="1">
      <c r="A647" s="289"/>
      <c r="B647" s="289"/>
      <c r="C647" s="289"/>
      <c r="D647" s="289"/>
      <c r="E647" s="290"/>
      <c r="F647" s="289"/>
      <c r="H647" s="38"/>
      <c r="I647" s="23"/>
      <c r="J647" s="24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1.25" customHeight="1">
      <c r="A648" s="289"/>
      <c r="B648" s="289"/>
      <c r="C648" s="289"/>
      <c r="D648" s="289"/>
      <c r="E648" s="290"/>
      <c r="F648" s="289"/>
      <c r="H648" s="38"/>
      <c r="I648" s="23"/>
      <c r="J648" s="24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1.25" customHeight="1">
      <c r="A649" s="289"/>
      <c r="B649" s="289"/>
      <c r="C649" s="289"/>
      <c r="D649" s="289"/>
      <c r="E649" s="290"/>
      <c r="F649" s="289"/>
      <c r="H649" s="38"/>
      <c r="I649" s="23"/>
      <c r="J649" s="24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1.25" customHeight="1">
      <c r="A650" s="289"/>
      <c r="B650" s="289"/>
      <c r="C650" s="289"/>
      <c r="D650" s="289"/>
      <c r="E650" s="290"/>
      <c r="F650" s="289"/>
      <c r="H650" s="38"/>
      <c r="I650" s="23"/>
      <c r="J650" s="24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1.25" customHeight="1">
      <c r="A651" s="289"/>
      <c r="B651" s="289"/>
      <c r="C651" s="289"/>
      <c r="D651" s="289"/>
      <c r="E651" s="290"/>
      <c r="F651" s="289"/>
      <c r="H651" s="38"/>
      <c r="I651" s="23"/>
      <c r="J651" s="24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1.25" customHeight="1">
      <c r="A652" s="289"/>
      <c r="B652" s="289"/>
      <c r="C652" s="289"/>
      <c r="D652" s="289"/>
      <c r="E652" s="290"/>
      <c r="F652" s="289"/>
      <c r="H652" s="38"/>
      <c r="I652" s="23"/>
      <c r="J652" s="24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1.25" customHeight="1">
      <c r="A653" s="289"/>
      <c r="B653" s="289"/>
      <c r="C653" s="289"/>
      <c r="D653" s="289"/>
      <c r="E653" s="290"/>
      <c r="F653" s="289"/>
      <c r="H653" s="38"/>
      <c r="I653" s="23"/>
      <c r="J653" s="24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1.25" customHeight="1">
      <c r="A654" s="289"/>
      <c r="B654" s="289"/>
      <c r="C654" s="289"/>
      <c r="D654" s="289"/>
      <c r="E654" s="290"/>
      <c r="F654" s="289"/>
      <c r="H654" s="38"/>
      <c r="I654" s="23"/>
      <c r="J654" s="24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1.25" customHeight="1">
      <c r="A655" s="289"/>
      <c r="B655" s="289"/>
      <c r="C655" s="289"/>
      <c r="D655" s="289"/>
      <c r="E655" s="290"/>
      <c r="F655" s="289"/>
      <c r="H655" s="38"/>
      <c r="I655" s="23"/>
      <c r="J655" s="24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1.25" customHeight="1">
      <c r="A656" s="289"/>
      <c r="B656" s="289"/>
      <c r="C656" s="289"/>
      <c r="D656" s="289"/>
      <c r="E656" s="290"/>
      <c r="F656" s="289"/>
      <c r="H656" s="38"/>
      <c r="I656" s="23"/>
      <c r="J656" s="24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1.25" customHeight="1">
      <c r="A657" s="289"/>
      <c r="B657" s="289"/>
      <c r="C657" s="289"/>
      <c r="D657" s="289"/>
      <c r="E657" s="290"/>
      <c r="F657" s="289"/>
      <c r="H657" s="38"/>
      <c r="I657" s="23"/>
      <c r="J657" s="24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1.25" customHeight="1">
      <c r="A658" s="289"/>
      <c r="B658" s="289"/>
      <c r="C658" s="289"/>
      <c r="D658" s="289"/>
      <c r="E658" s="290"/>
      <c r="F658" s="289"/>
      <c r="H658" s="38"/>
      <c r="I658" s="23"/>
      <c r="J658" s="24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1.25" customHeight="1">
      <c r="A659" s="289"/>
      <c r="B659" s="289"/>
      <c r="C659" s="289"/>
      <c r="D659" s="289"/>
      <c r="E659" s="290"/>
      <c r="F659" s="289"/>
      <c r="H659" s="38"/>
      <c r="I659" s="23"/>
      <c r="J659" s="24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1.25" customHeight="1">
      <c r="A660" s="289"/>
      <c r="B660" s="289"/>
      <c r="C660" s="289"/>
      <c r="D660" s="289"/>
      <c r="E660" s="290"/>
      <c r="F660" s="289"/>
      <c r="H660" s="38"/>
      <c r="I660" s="23"/>
      <c r="J660" s="24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1.25" customHeight="1">
      <c r="A661" s="289"/>
      <c r="B661" s="289"/>
      <c r="C661" s="289"/>
      <c r="D661" s="289"/>
      <c r="E661" s="290"/>
      <c r="F661" s="289"/>
      <c r="H661" s="38"/>
      <c r="I661" s="23"/>
      <c r="J661" s="24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1.25" customHeight="1">
      <c r="A662" s="289"/>
      <c r="B662" s="289"/>
      <c r="C662" s="289"/>
      <c r="D662" s="289"/>
      <c r="E662" s="290"/>
      <c r="F662" s="289"/>
      <c r="H662" s="38"/>
      <c r="I662" s="23"/>
      <c r="J662" s="24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1.25" customHeight="1">
      <c r="A663" s="289"/>
      <c r="B663" s="289"/>
      <c r="C663" s="289"/>
      <c r="D663" s="289"/>
      <c r="E663" s="290"/>
      <c r="F663" s="289"/>
      <c r="H663" s="38"/>
      <c r="I663" s="23"/>
      <c r="J663" s="24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1.25" customHeight="1">
      <c r="A664" s="289"/>
      <c r="B664" s="289"/>
      <c r="C664" s="289"/>
      <c r="D664" s="289"/>
      <c r="E664" s="290"/>
      <c r="F664" s="289"/>
      <c r="H664" s="38"/>
      <c r="I664" s="23"/>
      <c r="J664" s="24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1.25" customHeight="1">
      <c r="A665" s="289"/>
      <c r="B665" s="289"/>
      <c r="C665" s="289"/>
      <c r="D665" s="289"/>
      <c r="E665" s="290"/>
      <c r="F665" s="289"/>
      <c r="H665" s="38"/>
      <c r="I665" s="23"/>
      <c r="J665" s="24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1.25" customHeight="1">
      <c r="A666" s="289"/>
      <c r="B666" s="289"/>
      <c r="C666" s="289"/>
      <c r="D666" s="289"/>
      <c r="E666" s="290"/>
      <c r="F666" s="289"/>
      <c r="H666" s="38"/>
      <c r="I666" s="23"/>
      <c r="J666" s="24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1.25" customHeight="1">
      <c r="A667" s="289"/>
      <c r="B667" s="289"/>
      <c r="C667" s="289"/>
      <c r="D667" s="289"/>
      <c r="E667" s="290"/>
      <c r="F667" s="289"/>
      <c r="H667" s="38"/>
      <c r="I667" s="23"/>
      <c r="J667" s="24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1.25" customHeight="1">
      <c r="A668" s="289"/>
      <c r="B668" s="289"/>
      <c r="C668" s="289"/>
      <c r="D668" s="289"/>
      <c r="E668" s="290"/>
      <c r="F668" s="289"/>
      <c r="H668" s="38"/>
      <c r="I668" s="23"/>
      <c r="J668" s="24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1.25" customHeight="1">
      <c r="A669" s="289"/>
      <c r="B669" s="289"/>
      <c r="C669" s="289"/>
      <c r="D669" s="289"/>
      <c r="E669" s="290"/>
      <c r="F669" s="289"/>
      <c r="H669" s="38"/>
      <c r="I669" s="23"/>
      <c r="J669" s="24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1.25" customHeight="1">
      <c r="A670" s="289"/>
      <c r="B670" s="289"/>
      <c r="C670" s="289"/>
      <c r="D670" s="289"/>
      <c r="E670" s="290"/>
      <c r="F670" s="289"/>
      <c r="H670" s="38"/>
      <c r="I670" s="23"/>
      <c r="J670" s="24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1.25" customHeight="1">
      <c r="A671" s="289"/>
      <c r="B671" s="289"/>
      <c r="C671" s="289"/>
      <c r="D671" s="289"/>
      <c r="E671" s="290"/>
      <c r="F671" s="289"/>
      <c r="H671" s="38"/>
      <c r="I671" s="23"/>
      <c r="J671" s="24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1.25" customHeight="1">
      <c r="A672" s="289"/>
      <c r="B672" s="289"/>
      <c r="C672" s="289"/>
      <c r="D672" s="289"/>
      <c r="E672" s="290"/>
      <c r="F672" s="289"/>
      <c r="H672" s="38"/>
      <c r="I672" s="23"/>
      <c r="J672" s="24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1.25" customHeight="1">
      <c r="A673" s="289"/>
      <c r="B673" s="289"/>
      <c r="C673" s="289"/>
      <c r="D673" s="289"/>
      <c r="E673" s="290"/>
      <c r="F673" s="289"/>
      <c r="H673" s="38"/>
      <c r="I673" s="23"/>
      <c r="J673" s="24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1.25" customHeight="1">
      <c r="A674" s="289"/>
      <c r="B674" s="289"/>
      <c r="C674" s="289"/>
      <c r="D674" s="289"/>
      <c r="E674" s="290"/>
      <c r="F674" s="289"/>
      <c r="H674" s="38"/>
      <c r="I674" s="23"/>
      <c r="J674" s="24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1.25" customHeight="1">
      <c r="A675" s="289"/>
      <c r="B675" s="289"/>
      <c r="C675" s="289"/>
      <c r="D675" s="289"/>
      <c r="E675" s="290"/>
      <c r="F675" s="289"/>
      <c r="H675" s="38"/>
      <c r="I675" s="23"/>
      <c r="J675" s="24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1.25" customHeight="1">
      <c r="A676" s="289"/>
      <c r="B676" s="289"/>
      <c r="C676" s="289"/>
      <c r="D676" s="289"/>
      <c r="E676" s="290"/>
      <c r="F676" s="289"/>
      <c r="H676" s="38"/>
      <c r="I676" s="23"/>
      <c r="J676" s="24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1.25" customHeight="1">
      <c r="A677" s="289"/>
      <c r="B677" s="289"/>
      <c r="C677" s="289"/>
      <c r="D677" s="289"/>
      <c r="E677" s="290"/>
      <c r="F677" s="289"/>
      <c r="H677" s="38"/>
      <c r="I677" s="23"/>
      <c r="J677" s="24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1.25" customHeight="1">
      <c r="A678" s="289"/>
      <c r="B678" s="289"/>
      <c r="C678" s="289"/>
      <c r="D678" s="289"/>
      <c r="E678" s="290"/>
      <c r="F678" s="289"/>
      <c r="H678" s="38"/>
      <c r="I678" s="23"/>
      <c r="J678" s="24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1.25" customHeight="1">
      <c r="A679" s="289"/>
      <c r="B679" s="289"/>
      <c r="C679" s="289"/>
      <c r="D679" s="289"/>
      <c r="E679" s="290"/>
      <c r="F679" s="289"/>
      <c r="H679" s="38"/>
      <c r="I679" s="23"/>
      <c r="J679" s="24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1.25" customHeight="1">
      <c r="A680" s="289"/>
      <c r="B680" s="289"/>
      <c r="C680" s="289"/>
      <c r="D680" s="289"/>
      <c r="E680" s="290"/>
      <c r="F680" s="289"/>
      <c r="H680" s="38"/>
      <c r="I680" s="23"/>
      <c r="J680" s="24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1.25" customHeight="1">
      <c r="A681" s="289"/>
      <c r="B681" s="289"/>
      <c r="C681" s="289"/>
      <c r="D681" s="289"/>
      <c r="E681" s="290"/>
      <c r="F681" s="289"/>
      <c r="H681" s="38"/>
      <c r="I681" s="23"/>
      <c r="J681" s="24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1.25" customHeight="1">
      <c r="A682" s="289"/>
      <c r="B682" s="289"/>
      <c r="C682" s="289"/>
      <c r="D682" s="289"/>
      <c r="E682" s="290"/>
      <c r="F682" s="289"/>
      <c r="H682" s="38"/>
      <c r="I682" s="23"/>
      <c r="J682" s="24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1.25" customHeight="1">
      <c r="A683" s="289"/>
      <c r="B683" s="289"/>
      <c r="C683" s="289"/>
      <c r="D683" s="289"/>
      <c r="E683" s="290"/>
      <c r="F683" s="289"/>
      <c r="H683" s="38"/>
      <c r="I683" s="23"/>
      <c r="J683" s="24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1.25" customHeight="1">
      <c r="A684" s="289"/>
      <c r="B684" s="289"/>
      <c r="C684" s="289"/>
      <c r="D684" s="289"/>
      <c r="E684" s="290"/>
      <c r="F684" s="289"/>
      <c r="H684" s="38"/>
      <c r="I684" s="23"/>
      <c r="J684" s="24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1.25" customHeight="1">
      <c r="A685" s="289"/>
      <c r="B685" s="289"/>
      <c r="C685" s="289"/>
      <c r="D685" s="289"/>
      <c r="E685" s="290"/>
      <c r="F685" s="289"/>
      <c r="H685" s="38"/>
      <c r="I685" s="23"/>
      <c r="J685" s="24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1.25" customHeight="1">
      <c r="A686" s="289"/>
      <c r="B686" s="289"/>
      <c r="C686" s="289"/>
      <c r="D686" s="289"/>
      <c r="E686" s="290"/>
      <c r="F686" s="289"/>
      <c r="H686" s="38"/>
      <c r="I686" s="23"/>
      <c r="J686" s="24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1.25" customHeight="1">
      <c r="A687" s="289"/>
      <c r="B687" s="289"/>
      <c r="C687" s="289"/>
      <c r="D687" s="289"/>
      <c r="E687" s="290"/>
      <c r="F687" s="289"/>
      <c r="H687" s="38"/>
      <c r="I687" s="23"/>
      <c r="J687" s="24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1.25" customHeight="1">
      <c r="A688" s="289"/>
      <c r="B688" s="289"/>
      <c r="C688" s="289"/>
      <c r="D688" s="289"/>
      <c r="E688" s="290"/>
      <c r="F688" s="289"/>
      <c r="H688" s="38"/>
      <c r="I688" s="23"/>
      <c r="J688" s="24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1.25" customHeight="1">
      <c r="A689" s="289"/>
      <c r="B689" s="289"/>
      <c r="C689" s="289"/>
      <c r="D689" s="289"/>
      <c r="E689" s="290"/>
      <c r="F689" s="289"/>
      <c r="H689" s="38"/>
      <c r="I689" s="23"/>
      <c r="J689" s="24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1.25" customHeight="1">
      <c r="A690" s="289"/>
      <c r="B690" s="289"/>
      <c r="C690" s="289"/>
      <c r="D690" s="289"/>
      <c r="E690" s="290"/>
      <c r="F690" s="289"/>
      <c r="H690" s="38"/>
      <c r="I690" s="23"/>
      <c r="J690" s="24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1.25" customHeight="1">
      <c r="A691" s="289"/>
      <c r="B691" s="289"/>
      <c r="C691" s="289"/>
      <c r="D691" s="289"/>
      <c r="E691" s="290"/>
      <c r="F691" s="289"/>
      <c r="H691" s="38"/>
      <c r="I691" s="23"/>
      <c r="J691" s="24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1.25" customHeight="1">
      <c r="A692" s="289"/>
      <c r="B692" s="289"/>
      <c r="C692" s="289"/>
      <c r="D692" s="289"/>
      <c r="E692" s="290"/>
      <c r="F692" s="289"/>
      <c r="H692" s="38"/>
      <c r="I692" s="23"/>
      <c r="J692" s="24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1.25" customHeight="1">
      <c r="A693" s="289"/>
      <c r="B693" s="289"/>
      <c r="C693" s="289"/>
      <c r="D693" s="289"/>
      <c r="E693" s="290"/>
      <c r="F693" s="289"/>
      <c r="H693" s="38"/>
      <c r="I693" s="23"/>
      <c r="J693" s="24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1.25" customHeight="1">
      <c r="A694" s="289"/>
      <c r="B694" s="289"/>
      <c r="C694" s="289"/>
      <c r="D694" s="289"/>
      <c r="E694" s="290"/>
      <c r="F694" s="289"/>
      <c r="H694" s="38"/>
      <c r="I694" s="23"/>
      <c r="J694" s="24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1.25" customHeight="1">
      <c r="A695" s="289"/>
      <c r="B695" s="289"/>
      <c r="C695" s="289"/>
      <c r="D695" s="289"/>
      <c r="E695" s="290"/>
      <c r="F695" s="289"/>
      <c r="H695" s="38"/>
      <c r="I695" s="23"/>
      <c r="J695" s="24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1.25" customHeight="1">
      <c r="A696" s="289"/>
      <c r="B696" s="289"/>
      <c r="C696" s="289"/>
      <c r="D696" s="289"/>
      <c r="E696" s="290"/>
      <c r="F696" s="289"/>
      <c r="H696" s="38"/>
      <c r="I696" s="23"/>
      <c r="J696" s="24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1.25" customHeight="1">
      <c r="A697" s="289"/>
      <c r="B697" s="289"/>
      <c r="C697" s="289"/>
      <c r="D697" s="289"/>
      <c r="E697" s="290"/>
      <c r="F697" s="289"/>
      <c r="H697" s="38"/>
      <c r="I697" s="23"/>
      <c r="J697" s="24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1.25" customHeight="1">
      <c r="A698" s="289"/>
      <c r="B698" s="289"/>
      <c r="C698" s="289"/>
      <c r="D698" s="289"/>
      <c r="E698" s="290"/>
      <c r="F698" s="289"/>
      <c r="H698" s="38"/>
      <c r="I698" s="23"/>
      <c r="J698" s="24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1.25" customHeight="1">
      <c r="A699" s="289"/>
      <c r="B699" s="289"/>
      <c r="C699" s="289"/>
      <c r="D699" s="289"/>
      <c r="E699" s="290"/>
      <c r="F699" s="289"/>
      <c r="H699" s="38"/>
      <c r="I699" s="23"/>
      <c r="J699" s="24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1.25" customHeight="1">
      <c r="A700" s="289"/>
      <c r="B700" s="289"/>
      <c r="C700" s="289"/>
      <c r="D700" s="289"/>
      <c r="E700" s="290"/>
      <c r="F700" s="289"/>
      <c r="H700" s="38"/>
      <c r="I700" s="23"/>
      <c r="J700" s="24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1.25" customHeight="1">
      <c r="A701" s="289"/>
      <c r="B701" s="289"/>
      <c r="C701" s="289"/>
      <c r="D701" s="289"/>
      <c r="E701" s="290"/>
      <c r="F701" s="289"/>
      <c r="H701" s="38"/>
      <c r="I701" s="23"/>
      <c r="J701" s="24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1.25" customHeight="1">
      <c r="A702" s="289"/>
      <c r="B702" s="289"/>
      <c r="C702" s="289"/>
      <c r="D702" s="289"/>
      <c r="E702" s="290"/>
      <c r="F702" s="289"/>
      <c r="H702" s="38"/>
      <c r="I702" s="23"/>
      <c r="J702" s="24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1.25" customHeight="1">
      <c r="A703" s="289"/>
      <c r="B703" s="289"/>
      <c r="C703" s="289"/>
      <c r="D703" s="289"/>
      <c r="E703" s="290"/>
      <c r="F703" s="289"/>
      <c r="H703" s="38"/>
      <c r="I703" s="23"/>
      <c r="J703" s="24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1.25" customHeight="1">
      <c r="A704" s="289"/>
      <c r="B704" s="289"/>
      <c r="C704" s="289"/>
      <c r="D704" s="289"/>
      <c r="E704" s="290"/>
      <c r="F704" s="289"/>
      <c r="H704" s="38"/>
      <c r="I704" s="23"/>
      <c r="J704" s="24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1.25" customHeight="1">
      <c r="A705" s="289"/>
      <c r="B705" s="289"/>
      <c r="C705" s="289"/>
      <c r="D705" s="289"/>
      <c r="E705" s="290"/>
      <c r="F705" s="289"/>
      <c r="H705" s="38"/>
      <c r="I705" s="23"/>
      <c r="J705" s="24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1.25" customHeight="1">
      <c r="A706" s="289"/>
      <c r="B706" s="289"/>
      <c r="C706" s="289"/>
      <c r="D706" s="289"/>
      <c r="E706" s="290"/>
      <c r="F706" s="289"/>
      <c r="H706" s="38"/>
      <c r="I706" s="23"/>
      <c r="J706" s="24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1.25" customHeight="1">
      <c r="A707" s="289"/>
      <c r="B707" s="289"/>
      <c r="C707" s="289"/>
      <c r="D707" s="289"/>
      <c r="E707" s="290"/>
      <c r="F707" s="289"/>
      <c r="H707" s="38"/>
      <c r="I707" s="23"/>
      <c r="J707" s="24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1.25" customHeight="1">
      <c r="A708" s="289"/>
      <c r="B708" s="289"/>
      <c r="C708" s="289"/>
      <c r="D708" s="289"/>
      <c r="E708" s="290"/>
      <c r="F708" s="289"/>
      <c r="H708" s="38"/>
      <c r="I708" s="23"/>
      <c r="J708" s="24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1.25" customHeight="1">
      <c r="A709" s="289"/>
      <c r="B709" s="289"/>
      <c r="C709" s="289"/>
      <c r="D709" s="289"/>
      <c r="E709" s="290"/>
      <c r="F709" s="289"/>
      <c r="H709" s="38"/>
      <c r="I709" s="23"/>
      <c r="J709" s="24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1.25" customHeight="1">
      <c r="A710" s="289"/>
      <c r="B710" s="289"/>
      <c r="C710" s="289"/>
      <c r="D710" s="289"/>
      <c r="E710" s="290"/>
      <c r="F710" s="289"/>
      <c r="H710" s="38"/>
      <c r="I710" s="23"/>
      <c r="J710" s="24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1.25" customHeight="1">
      <c r="A711" s="289"/>
      <c r="B711" s="289"/>
      <c r="C711" s="289"/>
      <c r="D711" s="289"/>
      <c r="E711" s="290"/>
      <c r="F711" s="289"/>
      <c r="H711" s="38"/>
      <c r="I711" s="23"/>
      <c r="J711" s="24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1.25" customHeight="1">
      <c r="A712" s="289"/>
      <c r="B712" s="289"/>
      <c r="C712" s="289"/>
      <c r="D712" s="289"/>
      <c r="E712" s="290"/>
      <c r="F712" s="289"/>
      <c r="H712" s="38"/>
      <c r="I712" s="23"/>
      <c r="J712" s="24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1.25" customHeight="1">
      <c r="A713" s="289"/>
      <c r="B713" s="289"/>
      <c r="C713" s="289"/>
      <c r="D713" s="289"/>
      <c r="E713" s="290"/>
      <c r="F713" s="289"/>
      <c r="H713" s="38"/>
      <c r="I713" s="23"/>
      <c r="J713" s="24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1.25" customHeight="1">
      <c r="A714" s="289"/>
      <c r="B714" s="289"/>
      <c r="C714" s="289"/>
      <c r="D714" s="289"/>
      <c r="E714" s="290"/>
      <c r="F714" s="289"/>
      <c r="H714" s="38"/>
      <c r="I714" s="23"/>
      <c r="J714" s="24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1.25" customHeight="1">
      <c r="A715" s="289"/>
      <c r="B715" s="289"/>
      <c r="C715" s="289"/>
      <c r="D715" s="289"/>
      <c r="E715" s="290"/>
      <c r="F715" s="289"/>
      <c r="H715" s="38"/>
      <c r="I715" s="23"/>
      <c r="J715" s="24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1.25" customHeight="1">
      <c r="A716" s="289"/>
      <c r="B716" s="289"/>
      <c r="C716" s="289"/>
      <c r="D716" s="289"/>
      <c r="E716" s="290"/>
      <c r="F716" s="289"/>
      <c r="H716" s="38"/>
      <c r="I716" s="23"/>
      <c r="J716" s="24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1.25" customHeight="1">
      <c r="A717" s="289"/>
      <c r="B717" s="289"/>
      <c r="C717" s="289"/>
      <c r="D717" s="289"/>
      <c r="E717" s="290"/>
      <c r="F717" s="289"/>
      <c r="H717" s="38"/>
      <c r="I717" s="23"/>
      <c r="J717" s="24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1.25" customHeight="1">
      <c r="A718" s="289"/>
      <c r="B718" s="289"/>
      <c r="C718" s="289"/>
      <c r="D718" s="289"/>
      <c r="E718" s="290"/>
      <c r="F718" s="289"/>
      <c r="H718" s="38"/>
      <c r="I718" s="23"/>
      <c r="J718" s="24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1.25" customHeight="1">
      <c r="A719" s="289"/>
      <c r="B719" s="289"/>
      <c r="C719" s="289"/>
      <c r="D719" s="289"/>
      <c r="E719" s="290"/>
      <c r="F719" s="289"/>
      <c r="H719" s="38"/>
      <c r="I719" s="23"/>
      <c r="J719" s="24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1.25" customHeight="1">
      <c r="A720" s="289"/>
      <c r="B720" s="289"/>
      <c r="C720" s="289"/>
      <c r="D720" s="289"/>
      <c r="E720" s="290"/>
      <c r="F720" s="289"/>
      <c r="H720" s="38"/>
      <c r="I720" s="23"/>
      <c r="J720" s="24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1.25" customHeight="1">
      <c r="A721" s="289"/>
      <c r="B721" s="289"/>
      <c r="C721" s="289"/>
      <c r="D721" s="289"/>
      <c r="E721" s="290"/>
      <c r="F721" s="289"/>
      <c r="H721" s="38"/>
      <c r="I721" s="23"/>
      <c r="J721" s="24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1.25" customHeight="1">
      <c r="A722" s="289"/>
      <c r="B722" s="289"/>
      <c r="C722" s="289"/>
      <c r="D722" s="289"/>
      <c r="E722" s="290"/>
      <c r="F722" s="289"/>
      <c r="H722" s="38"/>
      <c r="I722" s="23"/>
      <c r="J722" s="24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1.25" customHeight="1">
      <c r="A723" s="289"/>
      <c r="B723" s="289"/>
      <c r="C723" s="289"/>
      <c r="D723" s="289"/>
      <c r="E723" s="290"/>
      <c r="F723" s="289"/>
      <c r="H723" s="38"/>
      <c r="I723" s="23"/>
      <c r="J723" s="24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1.25" customHeight="1">
      <c r="A724" s="289"/>
      <c r="B724" s="289"/>
      <c r="C724" s="289"/>
      <c r="D724" s="289"/>
      <c r="E724" s="290"/>
      <c r="F724" s="289"/>
      <c r="H724" s="38"/>
      <c r="I724" s="23"/>
      <c r="J724" s="24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1.25" customHeight="1">
      <c r="A725" s="289"/>
      <c r="B725" s="289"/>
      <c r="C725" s="289"/>
      <c r="D725" s="289"/>
      <c r="E725" s="290"/>
      <c r="F725" s="289"/>
      <c r="H725" s="38"/>
      <c r="I725" s="23"/>
      <c r="J725" s="24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1.25" customHeight="1">
      <c r="A726" s="289"/>
      <c r="B726" s="289"/>
      <c r="C726" s="289"/>
      <c r="D726" s="289"/>
      <c r="E726" s="290"/>
      <c r="F726" s="289"/>
      <c r="H726" s="38"/>
      <c r="I726" s="23"/>
      <c r="J726" s="24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1.25" customHeight="1">
      <c r="A727" s="289"/>
      <c r="B727" s="289"/>
      <c r="C727" s="289"/>
      <c r="D727" s="289"/>
      <c r="E727" s="290"/>
      <c r="F727" s="289"/>
      <c r="H727" s="38"/>
      <c r="I727" s="23"/>
      <c r="J727" s="24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1.25" customHeight="1">
      <c r="A728" s="289"/>
      <c r="B728" s="289"/>
      <c r="C728" s="289"/>
      <c r="D728" s="289"/>
      <c r="E728" s="290"/>
      <c r="F728" s="289"/>
      <c r="H728" s="38"/>
      <c r="I728" s="23"/>
      <c r="J728" s="24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1.25" customHeight="1">
      <c r="A729" s="289"/>
      <c r="B729" s="289"/>
      <c r="C729" s="289"/>
      <c r="D729" s="289"/>
      <c r="E729" s="290"/>
      <c r="F729" s="289"/>
      <c r="H729" s="38"/>
      <c r="I729" s="23"/>
      <c r="J729" s="24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1.25" customHeight="1">
      <c r="A730" s="289"/>
      <c r="B730" s="289"/>
      <c r="C730" s="289"/>
      <c r="D730" s="289"/>
      <c r="E730" s="290"/>
      <c r="F730" s="289"/>
      <c r="H730" s="38"/>
      <c r="I730" s="23"/>
      <c r="J730" s="24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1.25" customHeight="1">
      <c r="A731" s="289"/>
      <c r="B731" s="289"/>
      <c r="C731" s="289"/>
      <c r="D731" s="289"/>
      <c r="E731" s="290"/>
      <c r="F731" s="289"/>
      <c r="H731" s="38"/>
      <c r="I731" s="23"/>
      <c r="J731" s="24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1.25" customHeight="1">
      <c r="A732" s="289"/>
      <c r="B732" s="289"/>
      <c r="C732" s="289"/>
      <c r="D732" s="289"/>
      <c r="E732" s="290"/>
      <c r="F732" s="289"/>
      <c r="H732" s="38"/>
      <c r="I732" s="23"/>
      <c r="J732" s="24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1.25" customHeight="1">
      <c r="A733" s="289"/>
      <c r="B733" s="289"/>
      <c r="C733" s="289"/>
      <c r="D733" s="289"/>
      <c r="E733" s="290"/>
      <c r="F733" s="289"/>
      <c r="H733" s="38"/>
      <c r="I733" s="23"/>
      <c r="J733" s="24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1.25" customHeight="1">
      <c r="A734" s="289"/>
      <c r="B734" s="289"/>
      <c r="C734" s="289"/>
      <c r="D734" s="289"/>
      <c r="E734" s="290"/>
      <c r="F734" s="289"/>
      <c r="H734" s="38"/>
      <c r="I734" s="23"/>
      <c r="J734" s="24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1.25" customHeight="1">
      <c r="A735" s="289"/>
      <c r="B735" s="289"/>
      <c r="C735" s="289"/>
      <c r="D735" s="289"/>
      <c r="E735" s="290"/>
      <c r="F735" s="289"/>
      <c r="H735" s="38"/>
      <c r="I735" s="23"/>
      <c r="J735" s="24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1.25" customHeight="1">
      <c r="A736" s="289"/>
      <c r="B736" s="289"/>
      <c r="C736" s="289"/>
      <c r="D736" s="289"/>
      <c r="E736" s="290"/>
      <c r="F736" s="289"/>
      <c r="H736" s="38"/>
      <c r="I736" s="23"/>
      <c r="J736" s="24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1.25" customHeight="1">
      <c r="A737" s="289"/>
      <c r="B737" s="289"/>
      <c r="C737" s="289"/>
      <c r="D737" s="289"/>
      <c r="E737" s="290"/>
      <c r="F737" s="289"/>
      <c r="H737" s="38"/>
      <c r="I737" s="23"/>
      <c r="J737" s="24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1.25" customHeight="1">
      <c r="A738" s="289"/>
      <c r="B738" s="289"/>
      <c r="C738" s="289"/>
      <c r="D738" s="289"/>
      <c r="E738" s="290"/>
      <c r="F738" s="289"/>
      <c r="H738" s="38"/>
      <c r="I738" s="23"/>
      <c r="J738" s="24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1.25" customHeight="1">
      <c r="A739" s="289"/>
      <c r="B739" s="289"/>
      <c r="C739" s="289"/>
      <c r="D739" s="289"/>
      <c r="E739" s="290"/>
      <c r="F739" s="289"/>
      <c r="H739" s="38"/>
      <c r="I739" s="23"/>
      <c r="J739" s="24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1.25" customHeight="1">
      <c r="A740" s="289"/>
      <c r="B740" s="289"/>
      <c r="C740" s="289"/>
      <c r="D740" s="289"/>
      <c r="E740" s="290"/>
      <c r="F740" s="289"/>
      <c r="H740" s="38"/>
      <c r="I740" s="23"/>
      <c r="J740" s="24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1.25" customHeight="1">
      <c r="A741" s="289"/>
      <c r="B741" s="289"/>
      <c r="C741" s="289"/>
      <c r="D741" s="289"/>
      <c r="E741" s="290"/>
      <c r="F741" s="289"/>
      <c r="H741" s="38"/>
      <c r="I741" s="23"/>
      <c r="J741" s="24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1.25" customHeight="1">
      <c r="A742" s="289"/>
      <c r="B742" s="289"/>
      <c r="C742" s="289"/>
      <c r="D742" s="289"/>
      <c r="E742" s="290"/>
      <c r="F742" s="289"/>
      <c r="H742" s="38"/>
      <c r="I742" s="23"/>
      <c r="J742" s="24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1.25" customHeight="1">
      <c r="A743" s="289"/>
      <c r="B743" s="289"/>
      <c r="C743" s="289"/>
      <c r="D743" s="289"/>
      <c r="E743" s="290"/>
      <c r="F743" s="289"/>
      <c r="H743" s="38"/>
      <c r="I743" s="23"/>
      <c r="J743" s="24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1.25" customHeight="1">
      <c r="A744" s="289"/>
      <c r="B744" s="289"/>
      <c r="C744" s="289"/>
      <c r="D744" s="289"/>
      <c r="E744" s="290"/>
      <c r="F744" s="289"/>
      <c r="H744" s="38"/>
      <c r="I744" s="23"/>
      <c r="J744" s="24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1.25" customHeight="1">
      <c r="A745" s="289"/>
      <c r="B745" s="289"/>
      <c r="C745" s="289"/>
      <c r="D745" s="289"/>
      <c r="E745" s="290"/>
      <c r="F745" s="289"/>
      <c r="H745" s="38"/>
      <c r="I745" s="23"/>
      <c r="J745" s="24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1.25" customHeight="1">
      <c r="A746" s="289"/>
      <c r="B746" s="289"/>
      <c r="C746" s="289"/>
      <c r="D746" s="289"/>
      <c r="E746" s="290"/>
      <c r="F746" s="289"/>
      <c r="H746" s="38"/>
      <c r="I746" s="23"/>
      <c r="J746" s="24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1.25" customHeight="1">
      <c r="A747" s="289"/>
      <c r="B747" s="289"/>
      <c r="C747" s="289"/>
      <c r="D747" s="289"/>
      <c r="E747" s="290"/>
      <c r="F747" s="289"/>
      <c r="H747" s="38"/>
      <c r="I747" s="23"/>
      <c r="J747" s="24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1.25" customHeight="1">
      <c r="A748" s="289"/>
      <c r="B748" s="289"/>
      <c r="C748" s="289"/>
      <c r="D748" s="289"/>
      <c r="E748" s="290"/>
      <c r="F748" s="289"/>
      <c r="H748" s="38"/>
      <c r="I748" s="23"/>
      <c r="J748" s="24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1.25" customHeight="1">
      <c r="A749" s="289"/>
      <c r="B749" s="289"/>
      <c r="C749" s="289"/>
      <c r="D749" s="289"/>
      <c r="E749" s="290"/>
      <c r="F749" s="289"/>
      <c r="H749" s="38"/>
      <c r="I749" s="23"/>
      <c r="J749" s="24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1.25" customHeight="1">
      <c r="A750" s="289"/>
      <c r="B750" s="289"/>
      <c r="C750" s="289"/>
      <c r="D750" s="289"/>
      <c r="E750" s="290"/>
      <c r="F750" s="289"/>
      <c r="H750" s="38"/>
      <c r="I750" s="23"/>
      <c r="J750" s="24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1.25" customHeight="1">
      <c r="A751" s="289"/>
      <c r="B751" s="289"/>
      <c r="C751" s="289"/>
      <c r="D751" s="289"/>
      <c r="E751" s="290"/>
      <c r="F751" s="289"/>
      <c r="H751" s="38"/>
      <c r="I751" s="23"/>
      <c r="J751" s="24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1.25" customHeight="1">
      <c r="A752" s="289"/>
      <c r="B752" s="289"/>
      <c r="C752" s="289"/>
      <c r="D752" s="289"/>
      <c r="E752" s="290"/>
      <c r="F752" s="289"/>
      <c r="H752" s="38"/>
      <c r="I752" s="23"/>
      <c r="J752" s="24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1.25" customHeight="1">
      <c r="A753" s="289"/>
      <c r="B753" s="289"/>
      <c r="C753" s="289"/>
      <c r="D753" s="289"/>
      <c r="E753" s="290"/>
      <c r="F753" s="289"/>
      <c r="H753" s="38"/>
      <c r="I753" s="23"/>
      <c r="J753" s="24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1.25" customHeight="1">
      <c r="A754" s="289"/>
      <c r="B754" s="289"/>
      <c r="C754" s="289"/>
      <c r="D754" s="289"/>
      <c r="E754" s="290"/>
      <c r="F754" s="289"/>
      <c r="H754" s="38"/>
      <c r="I754" s="23"/>
      <c r="J754" s="24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1.25" customHeight="1">
      <c r="A755" s="289"/>
      <c r="B755" s="289"/>
      <c r="C755" s="289"/>
      <c r="D755" s="289"/>
      <c r="E755" s="290"/>
      <c r="F755" s="289"/>
      <c r="H755" s="38"/>
      <c r="I755" s="23"/>
      <c r="J755" s="24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1.25" customHeight="1">
      <c r="A756" s="289"/>
      <c r="B756" s="289"/>
      <c r="C756" s="289"/>
      <c r="D756" s="289"/>
      <c r="E756" s="290"/>
      <c r="F756" s="289"/>
      <c r="H756" s="38"/>
      <c r="I756" s="23"/>
      <c r="J756" s="24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1.25" customHeight="1">
      <c r="A757" s="289"/>
      <c r="B757" s="289"/>
      <c r="C757" s="289"/>
      <c r="D757" s="289"/>
      <c r="E757" s="290"/>
      <c r="F757" s="289"/>
      <c r="H757" s="38"/>
      <c r="I757" s="23"/>
      <c r="J757" s="24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1.25" customHeight="1">
      <c r="A758" s="289"/>
      <c r="B758" s="289"/>
      <c r="C758" s="289"/>
      <c r="D758" s="289"/>
      <c r="E758" s="290"/>
      <c r="F758" s="289"/>
      <c r="H758" s="38"/>
      <c r="I758" s="23"/>
      <c r="J758" s="24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1.25" customHeight="1">
      <c r="A759" s="289"/>
      <c r="B759" s="289"/>
      <c r="C759" s="289"/>
      <c r="D759" s="289"/>
      <c r="E759" s="290"/>
      <c r="F759" s="289"/>
      <c r="H759" s="38"/>
      <c r="I759" s="23"/>
      <c r="J759" s="24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1.25" customHeight="1">
      <c r="A760" s="289"/>
      <c r="B760" s="289"/>
      <c r="C760" s="289"/>
      <c r="D760" s="289"/>
      <c r="E760" s="290"/>
      <c r="F760" s="289"/>
      <c r="H760" s="38"/>
      <c r="I760" s="23"/>
      <c r="J760" s="24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1.25" customHeight="1">
      <c r="A761" s="289"/>
      <c r="B761" s="289"/>
      <c r="C761" s="289"/>
      <c r="D761" s="289"/>
      <c r="E761" s="290"/>
      <c r="F761" s="289"/>
      <c r="H761" s="38"/>
      <c r="I761" s="23"/>
      <c r="J761" s="24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1.25" customHeight="1">
      <c r="A762" s="289"/>
      <c r="B762" s="289"/>
      <c r="C762" s="289"/>
      <c r="D762" s="289"/>
      <c r="E762" s="290"/>
      <c r="F762" s="289"/>
      <c r="H762" s="38"/>
      <c r="I762" s="23"/>
      <c r="J762" s="24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1.25" customHeight="1">
      <c r="A763" s="289"/>
      <c r="B763" s="289"/>
      <c r="C763" s="289"/>
      <c r="D763" s="289"/>
      <c r="E763" s="290"/>
      <c r="F763" s="289"/>
      <c r="H763" s="38"/>
      <c r="I763" s="23"/>
      <c r="J763" s="24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1.25" customHeight="1">
      <c r="A764" s="289"/>
      <c r="B764" s="289"/>
      <c r="C764" s="289"/>
      <c r="D764" s="289"/>
      <c r="E764" s="290"/>
      <c r="F764" s="289"/>
      <c r="H764" s="38"/>
      <c r="I764" s="23"/>
      <c r="J764" s="24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1.25" customHeight="1">
      <c r="A765" s="289"/>
      <c r="B765" s="289"/>
      <c r="C765" s="289"/>
      <c r="D765" s="289"/>
      <c r="E765" s="290"/>
      <c r="F765" s="289"/>
      <c r="H765" s="38"/>
      <c r="I765" s="23"/>
      <c r="J765" s="24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1.25" customHeight="1">
      <c r="A766" s="289"/>
      <c r="B766" s="289"/>
      <c r="C766" s="289"/>
      <c r="D766" s="289"/>
      <c r="E766" s="290"/>
      <c r="F766" s="289"/>
      <c r="H766" s="38"/>
      <c r="I766" s="23"/>
      <c r="J766" s="24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1.25" customHeight="1">
      <c r="A767" s="289"/>
      <c r="B767" s="289"/>
      <c r="C767" s="289"/>
      <c r="D767" s="289"/>
      <c r="E767" s="290"/>
      <c r="F767" s="289"/>
      <c r="H767" s="38"/>
      <c r="I767" s="23"/>
      <c r="J767" s="24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1.25" customHeight="1">
      <c r="A768" s="289"/>
      <c r="B768" s="289"/>
      <c r="C768" s="289"/>
      <c r="D768" s="289"/>
      <c r="E768" s="290"/>
      <c r="F768" s="289"/>
      <c r="H768" s="38"/>
      <c r="I768" s="23"/>
      <c r="J768" s="24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1.25" customHeight="1">
      <c r="A769" s="289"/>
      <c r="B769" s="289"/>
      <c r="C769" s="289"/>
      <c r="D769" s="289"/>
      <c r="E769" s="290"/>
      <c r="F769" s="289"/>
      <c r="H769" s="38"/>
      <c r="I769" s="23"/>
      <c r="J769" s="24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1.25" customHeight="1">
      <c r="A770" s="289"/>
      <c r="B770" s="289"/>
      <c r="C770" s="289"/>
      <c r="D770" s="289"/>
      <c r="E770" s="290"/>
      <c r="F770" s="289"/>
      <c r="H770" s="38"/>
      <c r="I770" s="23"/>
      <c r="J770" s="24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1.25" customHeight="1">
      <c r="A771" s="289"/>
      <c r="B771" s="289"/>
      <c r="C771" s="289"/>
      <c r="D771" s="289"/>
      <c r="E771" s="290"/>
      <c r="F771" s="289"/>
      <c r="H771" s="38"/>
      <c r="I771" s="23"/>
      <c r="J771" s="24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1.25" customHeight="1">
      <c r="A772" s="289"/>
      <c r="B772" s="289"/>
      <c r="C772" s="289"/>
      <c r="D772" s="289"/>
      <c r="E772" s="290"/>
      <c r="F772" s="289"/>
      <c r="H772" s="38"/>
      <c r="I772" s="23"/>
      <c r="J772" s="24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1.25" customHeight="1">
      <c r="A773" s="289"/>
      <c r="B773" s="289"/>
      <c r="C773" s="289"/>
      <c r="D773" s="289"/>
      <c r="E773" s="290"/>
      <c r="F773" s="289"/>
      <c r="H773" s="38"/>
      <c r="I773" s="23"/>
      <c r="J773" s="24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1.25" customHeight="1">
      <c r="A774" s="289"/>
      <c r="B774" s="289"/>
      <c r="C774" s="289"/>
      <c r="D774" s="289"/>
      <c r="E774" s="290"/>
      <c r="F774" s="289"/>
      <c r="H774" s="38"/>
      <c r="I774" s="23"/>
      <c r="J774" s="24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1.25" customHeight="1">
      <c r="A775" s="289"/>
      <c r="B775" s="289"/>
      <c r="C775" s="289"/>
      <c r="D775" s="289"/>
      <c r="E775" s="290"/>
      <c r="F775" s="289"/>
      <c r="H775" s="38"/>
      <c r="I775" s="23"/>
      <c r="J775" s="24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1.25" customHeight="1">
      <c r="A776" s="289"/>
      <c r="B776" s="289"/>
      <c r="C776" s="289"/>
      <c r="D776" s="289"/>
      <c r="E776" s="290"/>
      <c r="F776" s="289"/>
      <c r="H776" s="38"/>
      <c r="I776" s="23"/>
      <c r="J776" s="24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1.25" customHeight="1">
      <c r="A777" s="289"/>
      <c r="B777" s="289"/>
      <c r="C777" s="289"/>
      <c r="D777" s="289"/>
      <c r="E777" s="290"/>
      <c r="F777" s="289"/>
      <c r="H777" s="38"/>
      <c r="I777" s="23"/>
      <c r="J777" s="24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1.25" customHeight="1">
      <c r="A778" s="289"/>
      <c r="B778" s="289"/>
      <c r="C778" s="289"/>
      <c r="D778" s="289"/>
      <c r="E778" s="290"/>
      <c r="F778" s="289"/>
      <c r="H778" s="38"/>
      <c r="I778" s="23"/>
      <c r="J778" s="24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1.25" customHeight="1">
      <c r="A779" s="289"/>
      <c r="B779" s="289"/>
      <c r="C779" s="289"/>
      <c r="D779" s="289"/>
      <c r="E779" s="290"/>
      <c r="F779" s="289"/>
      <c r="H779" s="38"/>
      <c r="I779" s="23"/>
      <c r="J779" s="24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1.25" customHeight="1">
      <c r="A780" s="289"/>
      <c r="B780" s="289"/>
      <c r="C780" s="289"/>
      <c r="D780" s="289"/>
      <c r="E780" s="290"/>
      <c r="F780" s="289"/>
      <c r="H780" s="38"/>
      <c r="I780" s="23"/>
      <c r="J780" s="24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1.25" customHeight="1">
      <c r="A781" s="289"/>
      <c r="B781" s="289"/>
      <c r="C781" s="289"/>
      <c r="D781" s="289"/>
      <c r="E781" s="290"/>
      <c r="F781" s="289"/>
      <c r="H781" s="38"/>
      <c r="I781" s="23"/>
      <c r="J781" s="24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1.25" customHeight="1">
      <c r="A782" s="289"/>
      <c r="B782" s="289"/>
      <c r="C782" s="289"/>
      <c r="D782" s="289"/>
      <c r="E782" s="290"/>
      <c r="F782" s="289"/>
      <c r="H782" s="38"/>
      <c r="I782" s="23"/>
      <c r="J782" s="24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1.25" customHeight="1">
      <c r="A783" s="289"/>
      <c r="B783" s="289"/>
      <c r="C783" s="289"/>
      <c r="D783" s="289"/>
      <c r="E783" s="290"/>
      <c r="F783" s="289"/>
      <c r="H783" s="38"/>
      <c r="I783" s="23"/>
      <c r="J783" s="24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1.25" customHeight="1">
      <c r="A784" s="289"/>
      <c r="B784" s="289"/>
      <c r="C784" s="289"/>
      <c r="D784" s="289"/>
      <c r="E784" s="290"/>
      <c r="F784" s="289"/>
      <c r="H784" s="38"/>
      <c r="I784" s="23"/>
      <c r="J784" s="24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1.25" customHeight="1">
      <c r="A785" s="289"/>
      <c r="B785" s="289"/>
      <c r="C785" s="289"/>
      <c r="D785" s="289"/>
      <c r="E785" s="290"/>
      <c r="F785" s="289"/>
      <c r="H785" s="38"/>
      <c r="I785" s="23"/>
      <c r="J785" s="24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1.25" customHeight="1">
      <c r="A786" s="289"/>
      <c r="B786" s="289"/>
      <c r="C786" s="289"/>
      <c r="D786" s="289"/>
      <c r="E786" s="290"/>
      <c r="F786" s="289"/>
      <c r="H786" s="38"/>
      <c r="I786" s="23"/>
      <c r="J786" s="24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1.25" customHeight="1">
      <c r="A787" s="289"/>
      <c r="B787" s="289"/>
      <c r="C787" s="289"/>
      <c r="D787" s="289"/>
      <c r="E787" s="290"/>
      <c r="F787" s="289"/>
      <c r="H787" s="38"/>
      <c r="I787" s="23"/>
      <c r="J787" s="24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1.25" customHeight="1">
      <c r="A788" s="289"/>
      <c r="B788" s="289"/>
      <c r="C788" s="289"/>
      <c r="D788" s="289"/>
      <c r="E788" s="290"/>
      <c r="F788" s="289"/>
      <c r="H788" s="38"/>
      <c r="I788" s="23"/>
      <c r="J788" s="24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1.25" customHeight="1">
      <c r="A789" s="289"/>
      <c r="B789" s="289"/>
      <c r="C789" s="289"/>
      <c r="D789" s="289"/>
      <c r="E789" s="290"/>
      <c r="F789" s="289"/>
      <c r="H789" s="38"/>
      <c r="I789" s="23"/>
      <c r="J789" s="24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1.25" customHeight="1">
      <c r="A790" s="289"/>
      <c r="B790" s="289"/>
      <c r="C790" s="289"/>
      <c r="D790" s="289"/>
      <c r="E790" s="290"/>
      <c r="F790" s="289"/>
      <c r="H790" s="38"/>
      <c r="I790" s="23"/>
      <c r="J790" s="24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1.25" customHeight="1">
      <c r="A791" s="289"/>
      <c r="B791" s="289"/>
      <c r="C791" s="289"/>
      <c r="D791" s="289"/>
      <c r="E791" s="290"/>
      <c r="F791" s="289"/>
      <c r="H791" s="38"/>
      <c r="I791" s="23"/>
      <c r="J791" s="24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1.25" customHeight="1">
      <c r="A792" s="289"/>
      <c r="B792" s="289"/>
      <c r="C792" s="289"/>
      <c r="D792" s="289"/>
      <c r="E792" s="290"/>
      <c r="F792" s="289"/>
      <c r="H792" s="38"/>
      <c r="I792" s="23"/>
      <c r="J792" s="24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1.25" customHeight="1">
      <c r="A793" s="289"/>
      <c r="B793" s="289"/>
      <c r="C793" s="289"/>
      <c r="D793" s="289"/>
      <c r="E793" s="290"/>
      <c r="F793" s="289"/>
      <c r="H793" s="38"/>
      <c r="I793" s="23"/>
      <c r="J793" s="24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1.25" customHeight="1">
      <c r="A794" s="289"/>
      <c r="B794" s="289"/>
      <c r="C794" s="289"/>
      <c r="D794" s="289"/>
      <c r="E794" s="290"/>
      <c r="F794" s="289"/>
      <c r="H794" s="38"/>
      <c r="I794" s="23"/>
      <c r="J794" s="24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1.25" customHeight="1">
      <c r="A795" s="289"/>
      <c r="B795" s="289"/>
      <c r="C795" s="289"/>
      <c r="D795" s="289"/>
      <c r="E795" s="290"/>
      <c r="F795" s="289"/>
      <c r="H795" s="38"/>
      <c r="I795" s="23"/>
      <c r="J795" s="24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1.25" customHeight="1">
      <c r="A796" s="289"/>
      <c r="B796" s="289"/>
      <c r="C796" s="289"/>
      <c r="D796" s="289"/>
      <c r="E796" s="290"/>
      <c r="F796" s="289"/>
      <c r="H796" s="38"/>
      <c r="I796" s="23"/>
      <c r="J796" s="24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1.25" customHeight="1">
      <c r="A797" s="289"/>
      <c r="B797" s="289"/>
      <c r="C797" s="289"/>
      <c r="D797" s="289"/>
      <c r="E797" s="290"/>
      <c r="F797" s="289"/>
      <c r="H797" s="38"/>
      <c r="I797" s="23"/>
      <c r="J797" s="24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1.25" customHeight="1">
      <c r="A798" s="289"/>
      <c r="B798" s="289"/>
      <c r="C798" s="289"/>
      <c r="D798" s="289"/>
      <c r="E798" s="290"/>
      <c r="F798" s="289"/>
      <c r="H798" s="38"/>
      <c r="I798" s="23"/>
      <c r="J798" s="24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1.25" customHeight="1">
      <c r="A799" s="289"/>
      <c r="B799" s="289"/>
      <c r="C799" s="289"/>
      <c r="D799" s="289"/>
      <c r="E799" s="290"/>
      <c r="F799" s="289"/>
      <c r="H799" s="38"/>
      <c r="I799" s="23"/>
      <c r="J799" s="24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1.25" customHeight="1">
      <c r="A800" s="289"/>
      <c r="B800" s="289"/>
      <c r="C800" s="289"/>
      <c r="D800" s="289"/>
      <c r="E800" s="290"/>
      <c r="F800" s="289"/>
      <c r="H800" s="38"/>
      <c r="I800" s="23"/>
      <c r="J800" s="24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1.25" customHeight="1">
      <c r="A801" s="289"/>
      <c r="B801" s="289"/>
      <c r="C801" s="289"/>
      <c r="D801" s="289"/>
      <c r="E801" s="290"/>
      <c r="F801" s="289"/>
      <c r="H801" s="38"/>
      <c r="I801" s="23"/>
      <c r="J801" s="24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1.25" customHeight="1">
      <c r="A802" s="289"/>
      <c r="B802" s="289"/>
      <c r="C802" s="289"/>
      <c r="D802" s="289"/>
      <c r="E802" s="290"/>
      <c r="F802" s="289"/>
      <c r="H802" s="38"/>
      <c r="I802" s="23"/>
      <c r="J802" s="24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1.25" customHeight="1">
      <c r="A803" s="289"/>
      <c r="B803" s="289"/>
      <c r="C803" s="289"/>
      <c r="D803" s="289"/>
      <c r="E803" s="290"/>
      <c r="F803" s="289"/>
      <c r="H803" s="38"/>
      <c r="I803" s="23"/>
      <c r="J803" s="24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1.25" customHeight="1">
      <c r="A804" s="289"/>
      <c r="B804" s="289"/>
      <c r="C804" s="289"/>
      <c r="D804" s="289"/>
      <c r="E804" s="290"/>
      <c r="F804" s="289"/>
      <c r="H804" s="38"/>
      <c r="I804" s="23"/>
      <c r="J804" s="24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1.25" customHeight="1">
      <c r="A805" s="289"/>
      <c r="B805" s="289"/>
      <c r="C805" s="289"/>
      <c r="D805" s="289"/>
      <c r="E805" s="290"/>
      <c r="F805" s="289"/>
      <c r="H805" s="38"/>
      <c r="I805" s="23"/>
      <c r="J805" s="24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1.25" customHeight="1">
      <c r="A806" s="289"/>
      <c r="B806" s="289"/>
      <c r="C806" s="289"/>
      <c r="D806" s="289"/>
      <c r="E806" s="290"/>
      <c r="F806" s="289"/>
      <c r="H806" s="38"/>
      <c r="I806" s="23"/>
      <c r="J806" s="24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1.25" customHeight="1">
      <c r="A807" s="289"/>
      <c r="B807" s="289"/>
      <c r="C807" s="289"/>
      <c r="D807" s="289"/>
      <c r="E807" s="290"/>
      <c r="F807" s="289"/>
      <c r="H807" s="38"/>
      <c r="I807" s="23"/>
      <c r="J807" s="24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1.25" customHeight="1">
      <c r="A808" s="289"/>
      <c r="B808" s="289"/>
      <c r="C808" s="289"/>
      <c r="D808" s="289"/>
      <c r="E808" s="290"/>
      <c r="F808" s="289"/>
      <c r="H808" s="38"/>
      <c r="I808" s="23"/>
      <c r="J808" s="24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1.25" customHeight="1">
      <c r="A809" s="289"/>
      <c r="B809" s="289"/>
      <c r="C809" s="289"/>
      <c r="D809" s="289"/>
      <c r="E809" s="290"/>
      <c r="F809" s="289"/>
      <c r="H809" s="38"/>
      <c r="I809" s="23"/>
      <c r="J809" s="24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1.25" customHeight="1">
      <c r="A810" s="289"/>
      <c r="B810" s="289"/>
      <c r="C810" s="289"/>
      <c r="D810" s="289"/>
      <c r="E810" s="290"/>
      <c r="F810" s="289"/>
      <c r="H810" s="38"/>
      <c r="I810" s="23"/>
      <c r="J810" s="24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1.25" customHeight="1">
      <c r="A811" s="289"/>
      <c r="B811" s="289"/>
      <c r="C811" s="289"/>
      <c r="D811" s="289"/>
      <c r="E811" s="290"/>
      <c r="F811" s="289"/>
      <c r="H811" s="38"/>
      <c r="I811" s="23"/>
      <c r="J811" s="24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1.25" customHeight="1">
      <c r="A812" s="289"/>
      <c r="B812" s="289"/>
      <c r="C812" s="289"/>
      <c r="D812" s="289"/>
      <c r="E812" s="290"/>
      <c r="F812" s="289"/>
      <c r="H812" s="38"/>
      <c r="I812" s="23"/>
      <c r="J812" s="24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1.25" customHeight="1">
      <c r="A813" s="289"/>
      <c r="B813" s="289"/>
      <c r="C813" s="289"/>
      <c r="D813" s="289"/>
      <c r="E813" s="290"/>
      <c r="F813" s="289"/>
      <c r="H813" s="38"/>
      <c r="I813" s="23"/>
      <c r="J813" s="24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1.25" customHeight="1">
      <c r="A814" s="289"/>
      <c r="B814" s="289"/>
      <c r="C814" s="289"/>
      <c r="D814" s="289"/>
      <c r="E814" s="290"/>
      <c r="F814" s="289"/>
      <c r="H814" s="38"/>
      <c r="I814" s="23"/>
      <c r="J814" s="24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1.25" customHeight="1">
      <c r="A815" s="289"/>
      <c r="B815" s="289"/>
      <c r="C815" s="289"/>
      <c r="D815" s="289"/>
      <c r="E815" s="290"/>
      <c r="F815" s="289"/>
      <c r="H815" s="38"/>
      <c r="I815" s="23"/>
      <c r="J815" s="24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1.25" customHeight="1">
      <c r="A816" s="289"/>
      <c r="B816" s="289"/>
      <c r="C816" s="289"/>
      <c r="D816" s="289"/>
      <c r="E816" s="290"/>
      <c r="F816" s="289"/>
      <c r="H816" s="38"/>
      <c r="I816" s="23"/>
      <c r="J816" s="24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1.25" customHeight="1">
      <c r="A817" s="289"/>
      <c r="B817" s="289"/>
      <c r="C817" s="289"/>
      <c r="D817" s="289"/>
      <c r="E817" s="290"/>
      <c r="F817" s="289"/>
      <c r="H817" s="38"/>
      <c r="I817" s="23"/>
      <c r="J817" s="24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1.25" customHeight="1">
      <c r="A818" s="289"/>
      <c r="B818" s="289"/>
      <c r="C818" s="289"/>
      <c r="D818" s="289"/>
      <c r="E818" s="290"/>
      <c r="F818" s="289"/>
      <c r="H818" s="38"/>
      <c r="I818" s="23"/>
      <c r="J818" s="24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1.25" customHeight="1">
      <c r="A819" s="289"/>
      <c r="B819" s="289"/>
      <c r="C819" s="289"/>
      <c r="D819" s="289"/>
      <c r="E819" s="290"/>
      <c r="F819" s="289"/>
      <c r="H819" s="38"/>
      <c r="I819" s="23"/>
      <c r="J819" s="24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1.25" customHeight="1">
      <c r="A820" s="289"/>
      <c r="B820" s="289"/>
      <c r="C820" s="289"/>
      <c r="D820" s="289"/>
      <c r="E820" s="290"/>
      <c r="F820" s="289"/>
      <c r="H820" s="38"/>
      <c r="I820" s="23"/>
      <c r="J820" s="24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1.25" customHeight="1">
      <c r="A821" s="289"/>
      <c r="B821" s="289"/>
      <c r="C821" s="289"/>
      <c r="D821" s="289"/>
      <c r="E821" s="290"/>
      <c r="F821" s="289"/>
      <c r="H821" s="38"/>
      <c r="I821" s="23"/>
      <c r="J821" s="24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1.25" customHeight="1">
      <c r="A822" s="289"/>
      <c r="B822" s="289"/>
      <c r="C822" s="289"/>
      <c r="D822" s="289"/>
      <c r="E822" s="290"/>
      <c r="F822" s="289"/>
      <c r="H822" s="38"/>
      <c r="I822" s="23"/>
      <c r="J822" s="24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1.25" customHeight="1">
      <c r="A823" s="289"/>
      <c r="B823" s="289"/>
      <c r="C823" s="289"/>
      <c r="D823" s="289"/>
      <c r="E823" s="290"/>
      <c r="F823" s="289"/>
      <c r="H823" s="38"/>
      <c r="I823" s="23"/>
      <c r="J823" s="24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1.25" customHeight="1">
      <c r="A824" s="289"/>
      <c r="B824" s="289"/>
      <c r="C824" s="289"/>
      <c r="D824" s="289"/>
      <c r="E824" s="290"/>
      <c r="F824" s="289"/>
      <c r="H824" s="38"/>
      <c r="I824" s="23"/>
      <c r="J824" s="24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1.25" customHeight="1">
      <c r="A825" s="289"/>
      <c r="B825" s="289"/>
      <c r="C825" s="289"/>
      <c r="D825" s="289"/>
      <c r="E825" s="290"/>
      <c r="F825" s="289"/>
      <c r="H825" s="38"/>
      <c r="I825" s="23"/>
      <c r="J825" s="24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1.25" customHeight="1">
      <c r="A826" s="289"/>
      <c r="B826" s="289"/>
      <c r="C826" s="289"/>
      <c r="D826" s="289"/>
      <c r="E826" s="290"/>
      <c r="F826" s="289"/>
      <c r="H826" s="38"/>
      <c r="I826" s="23"/>
      <c r="J826" s="24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1.25" customHeight="1">
      <c r="A827" s="289"/>
      <c r="B827" s="289"/>
      <c r="C827" s="289"/>
      <c r="D827" s="289"/>
      <c r="E827" s="290"/>
      <c r="F827" s="289"/>
      <c r="H827" s="38"/>
      <c r="I827" s="23"/>
      <c r="J827" s="24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1.25" customHeight="1">
      <c r="A828" s="289"/>
      <c r="B828" s="289"/>
      <c r="C828" s="289"/>
      <c r="D828" s="289"/>
      <c r="E828" s="290"/>
      <c r="F828" s="289"/>
      <c r="H828" s="38"/>
      <c r="I828" s="23"/>
      <c r="J828" s="24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1.25" customHeight="1">
      <c r="A829" s="289"/>
      <c r="B829" s="289"/>
      <c r="C829" s="289"/>
      <c r="D829" s="289"/>
      <c r="E829" s="290"/>
      <c r="F829" s="289"/>
      <c r="H829" s="38"/>
      <c r="I829" s="23"/>
      <c r="J829" s="24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1.25" customHeight="1">
      <c r="A830" s="289"/>
      <c r="B830" s="289"/>
      <c r="C830" s="289"/>
      <c r="D830" s="289"/>
      <c r="E830" s="290"/>
      <c r="F830" s="289"/>
      <c r="H830" s="38"/>
      <c r="I830" s="23"/>
      <c r="J830" s="24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1.25" customHeight="1">
      <c r="A831" s="289"/>
      <c r="B831" s="289"/>
      <c r="C831" s="289"/>
      <c r="D831" s="289"/>
      <c r="E831" s="290"/>
      <c r="F831" s="289"/>
      <c r="H831" s="38"/>
      <c r="I831" s="23"/>
      <c r="J831" s="24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1.25" customHeight="1">
      <c r="A832" s="289"/>
      <c r="B832" s="289"/>
      <c r="C832" s="289"/>
      <c r="D832" s="289"/>
      <c r="E832" s="290"/>
      <c r="F832" s="289"/>
      <c r="H832" s="38"/>
      <c r="I832" s="23"/>
      <c r="J832" s="24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1.25" customHeight="1">
      <c r="A833" s="289"/>
      <c r="B833" s="289"/>
      <c r="C833" s="289"/>
      <c r="D833" s="289"/>
      <c r="E833" s="290"/>
      <c r="F833" s="289"/>
      <c r="H833" s="38"/>
      <c r="I833" s="23"/>
      <c r="J833" s="24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1.25" customHeight="1">
      <c r="A834" s="289"/>
      <c r="B834" s="289"/>
      <c r="C834" s="289"/>
      <c r="D834" s="289"/>
      <c r="E834" s="290"/>
      <c r="F834" s="289"/>
      <c r="H834" s="38"/>
      <c r="I834" s="23"/>
      <c r="J834" s="24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1.25" customHeight="1">
      <c r="A835" s="289"/>
      <c r="B835" s="289"/>
      <c r="C835" s="289"/>
      <c r="D835" s="289"/>
      <c r="E835" s="290"/>
      <c r="F835" s="289"/>
      <c r="H835" s="38"/>
      <c r="I835" s="23"/>
      <c r="J835" s="24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1.25" customHeight="1">
      <c r="A836" s="289"/>
      <c r="B836" s="289"/>
      <c r="C836" s="289"/>
      <c r="D836" s="289"/>
      <c r="E836" s="290"/>
      <c r="F836" s="289"/>
      <c r="H836" s="38"/>
      <c r="I836" s="23"/>
      <c r="J836" s="24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1.25" customHeight="1">
      <c r="A837" s="289"/>
      <c r="B837" s="289"/>
      <c r="C837" s="289"/>
      <c r="D837" s="289"/>
      <c r="E837" s="290"/>
      <c r="F837" s="289"/>
      <c r="H837" s="38"/>
      <c r="I837" s="23"/>
      <c r="J837" s="24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1.25" customHeight="1">
      <c r="A838" s="289"/>
      <c r="B838" s="289"/>
      <c r="C838" s="289"/>
      <c r="D838" s="289"/>
      <c r="E838" s="290"/>
      <c r="F838" s="289"/>
      <c r="H838" s="38"/>
      <c r="I838" s="23"/>
      <c r="J838" s="24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1.25" customHeight="1">
      <c r="A839" s="289"/>
      <c r="B839" s="289"/>
      <c r="C839" s="289"/>
      <c r="D839" s="289"/>
      <c r="E839" s="290"/>
      <c r="F839" s="289"/>
      <c r="H839" s="38"/>
      <c r="I839" s="23"/>
      <c r="J839" s="24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1.25" customHeight="1">
      <c r="A840" s="289"/>
      <c r="B840" s="289"/>
      <c r="C840" s="289"/>
      <c r="D840" s="289"/>
      <c r="E840" s="290"/>
      <c r="F840" s="289"/>
      <c r="H840" s="38"/>
      <c r="I840" s="23"/>
      <c r="J840" s="24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1.25" customHeight="1">
      <c r="A841" s="289"/>
      <c r="B841" s="289"/>
      <c r="C841" s="289"/>
      <c r="D841" s="289"/>
      <c r="E841" s="290"/>
      <c r="F841" s="289"/>
      <c r="H841" s="38"/>
      <c r="I841" s="23"/>
      <c r="J841" s="24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1.25" customHeight="1">
      <c r="A842" s="289"/>
      <c r="B842" s="289"/>
      <c r="C842" s="289"/>
      <c r="D842" s="289"/>
      <c r="E842" s="290"/>
      <c r="F842" s="289"/>
      <c r="H842" s="38"/>
      <c r="I842" s="23"/>
      <c r="J842" s="24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1.25" customHeight="1">
      <c r="A843" s="289"/>
      <c r="B843" s="289"/>
      <c r="C843" s="289"/>
      <c r="D843" s="289"/>
      <c r="E843" s="290"/>
      <c r="F843" s="289"/>
      <c r="H843" s="38"/>
      <c r="I843" s="23"/>
      <c r="J843" s="24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1.25" customHeight="1">
      <c r="A844" s="289"/>
      <c r="B844" s="289"/>
      <c r="C844" s="289"/>
      <c r="D844" s="289"/>
      <c r="E844" s="290"/>
      <c r="F844" s="289"/>
      <c r="H844" s="38"/>
      <c r="I844" s="23"/>
      <c r="J844" s="24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1.25" customHeight="1">
      <c r="A845" s="289"/>
      <c r="B845" s="289"/>
      <c r="C845" s="289"/>
      <c r="D845" s="289"/>
      <c r="E845" s="290"/>
      <c r="F845" s="289"/>
      <c r="H845" s="38"/>
      <c r="I845" s="23"/>
      <c r="J845" s="24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1.25" customHeight="1">
      <c r="A846" s="289"/>
      <c r="B846" s="289"/>
      <c r="C846" s="289"/>
      <c r="D846" s="289"/>
      <c r="E846" s="290"/>
      <c r="F846" s="289"/>
      <c r="H846" s="38"/>
      <c r="I846" s="23"/>
      <c r="J846" s="24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1.25" customHeight="1">
      <c r="A847" s="289"/>
      <c r="B847" s="289"/>
      <c r="C847" s="289"/>
      <c r="D847" s="289"/>
      <c r="E847" s="290"/>
      <c r="F847" s="289"/>
      <c r="H847" s="38"/>
      <c r="I847" s="23"/>
      <c r="J847" s="24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1.25" customHeight="1">
      <c r="A848" s="289"/>
      <c r="B848" s="289"/>
      <c r="C848" s="289"/>
      <c r="D848" s="289"/>
      <c r="E848" s="290"/>
      <c r="F848" s="289"/>
      <c r="H848" s="38"/>
      <c r="I848" s="23"/>
      <c r="J848" s="24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1.25" customHeight="1">
      <c r="A849" s="289"/>
      <c r="B849" s="289"/>
      <c r="C849" s="289"/>
      <c r="D849" s="289"/>
      <c r="E849" s="290"/>
      <c r="F849" s="289"/>
      <c r="H849" s="38"/>
      <c r="I849" s="23"/>
      <c r="J849" s="24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1.25" customHeight="1">
      <c r="A850" s="289"/>
      <c r="B850" s="289"/>
      <c r="C850" s="289"/>
      <c r="D850" s="289"/>
      <c r="E850" s="290"/>
      <c r="F850" s="289"/>
      <c r="H850" s="38"/>
      <c r="I850" s="23"/>
      <c r="J850" s="24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1.25" customHeight="1">
      <c r="A851" s="289"/>
      <c r="B851" s="289"/>
      <c r="C851" s="289"/>
      <c r="D851" s="289"/>
      <c r="E851" s="290"/>
      <c r="F851" s="289"/>
      <c r="H851" s="38"/>
      <c r="I851" s="23"/>
      <c r="J851" s="24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1.25" customHeight="1">
      <c r="A852" s="289"/>
      <c r="B852" s="289"/>
      <c r="C852" s="289"/>
      <c r="D852" s="289"/>
      <c r="E852" s="290"/>
      <c r="F852" s="289"/>
      <c r="H852" s="38"/>
      <c r="I852" s="23"/>
      <c r="J852" s="24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1.25" customHeight="1">
      <c r="A853" s="289"/>
      <c r="B853" s="289"/>
      <c r="C853" s="289"/>
      <c r="D853" s="289"/>
      <c r="E853" s="290"/>
      <c r="F853" s="289"/>
      <c r="H853" s="38"/>
      <c r="I853" s="23"/>
      <c r="J853" s="24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1.25" customHeight="1">
      <c r="A854" s="289"/>
      <c r="B854" s="289"/>
      <c r="C854" s="289"/>
      <c r="D854" s="289"/>
      <c r="E854" s="290"/>
      <c r="F854" s="289"/>
      <c r="H854" s="38"/>
      <c r="I854" s="23"/>
      <c r="J854" s="24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1.25" customHeight="1">
      <c r="A855" s="289"/>
      <c r="B855" s="289"/>
      <c r="C855" s="289"/>
      <c r="D855" s="289"/>
      <c r="E855" s="290"/>
      <c r="F855" s="289"/>
      <c r="H855" s="38"/>
      <c r="I855" s="23"/>
      <c r="J855" s="24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1.25" customHeight="1">
      <c r="A856" s="289"/>
      <c r="B856" s="289"/>
      <c r="C856" s="289"/>
      <c r="D856" s="289"/>
      <c r="E856" s="290"/>
      <c r="F856" s="289"/>
      <c r="H856" s="38"/>
      <c r="I856" s="23"/>
      <c r="J856" s="24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1.25" customHeight="1">
      <c r="A857" s="289"/>
      <c r="B857" s="289"/>
      <c r="C857" s="289"/>
      <c r="D857" s="289"/>
      <c r="E857" s="290"/>
      <c r="F857" s="289"/>
      <c r="H857" s="38"/>
      <c r="I857" s="23"/>
      <c r="J857" s="24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1.25" customHeight="1">
      <c r="A858" s="289"/>
      <c r="B858" s="289"/>
      <c r="C858" s="289"/>
      <c r="D858" s="289"/>
      <c r="E858" s="290"/>
      <c r="F858" s="289"/>
      <c r="H858" s="38"/>
      <c r="I858" s="23"/>
      <c r="J858" s="24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1.25" customHeight="1">
      <c r="A859" s="289"/>
      <c r="B859" s="289"/>
      <c r="C859" s="289"/>
      <c r="D859" s="289"/>
      <c r="E859" s="290"/>
      <c r="F859" s="289"/>
      <c r="H859" s="38"/>
      <c r="I859" s="23"/>
      <c r="J859" s="24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1.25" customHeight="1">
      <c r="A860" s="289"/>
      <c r="B860" s="289"/>
      <c r="C860" s="289"/>
      <c r="D860" s="289"/>
      <c r="E860" s="290"/>
      <c r="F860" s="289"/>
      <c r="H860" s="38"/>
      <c r="I860" s="23"/>
      <c r="J860" s="24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1.25" customHeight="1">
      <c r="A861" s="289"/>
      <c r="B861" s="289"/>
      <c r="C861" s="289"/>
      <c r="D861" s="289"/>
      <c r="E861" s="290"/>
      <c r="F861" s="289"/>
      <c r="H861" s="38"/>
      <c r="I861" s="23"/>
      <c r="J861" s="24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1.25" customHeight="1">
      <c r="A862" s="289"/>
      <c r="B862" s="289"/>
      <c r="C862" s="289"/>
      <c r="D862" s="289"/>
      <c r="E862" s="290"/>
      <c r="F862" s="289"/>
      <c r="H862" s="38"/>
      <c r="I862" s="23"/>
      <c r="J862" s="24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1.25" customHeight="1">
      <c r="A863" s="289"/>
      <c r="B863" s="289"/>
      <c r="C863" s="289"/>
      <c r="D863" s="289"/>
      <c r="E863" s="290"/>
      <c r="F863" s="289"/>
      <c r="H863" s="38"/>
      <c r="I863" s="23"/>
      <c r="J863" s="24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1.25" customHeight="1">
      <c r="A864" s="289"/>
      <c r="B864" s="289"/>
      <c r="C864" s="289"/>
      <c r="D864" s="289"/>
      <c r="E864" s="290"/>
      <c r="F864" s="289"/>
      <c r="H864" s="38"/>
      <c r="I864" s="23"/>
      <c r="J864" s="24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1.25" customHeight="1">
      <c r="A865" s="289"/>
      <c r="B865" s="289"/>
      <c r="C865" s="289"/>
      <c r="D865" s="289"/>
      <c r="E865" s="290"/>
      <c r="F865" s="289"/>
      <c r="H865" s="38"/>
      <c r="I865" s="23"/>
      <c r="J865" s="24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1.25" customHeight="1">
      <c r="A866" s="289"/>
      <c r="B866" s="289"/>
      <c r="C866" s="289"/>
      <c r="D866" s="289"/>
      <c r="E866" s="290"/>
      <c r="F866" s="289"/>
      <c r="H866" s="38"/>
      <c r="I866" s="23"/>
      <c r="J866" s="24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1.25" customHeight="1">
      <c r="A867" s="289"/>
      <c r="B867" s="289"/>
      <c r="C867" s="289"/>
      <c r="D867" s="289"/>
      <c r="E867" s="290"/>
      <c r="F867" s="289"/>
      <c r="H867" s="38"/>
      <c r="I867" s="23"/>
      <c r="J867" s="24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1.25" customHeight="1">
      <c r="A868" s="289"/>
      <c r="B868" s="289"/>
      <c r="C868" s="289"/>
      <c r="D868" s="289"/>
      <c r="E868" s="290"/>
      <c r="F868" s="289"/>
      <c r="H868" s="38"/>
      <c r="I868" s="23"/>
      <c r="J868" s="24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1.25" customHeight="1">
      <c r="A869" s="289"/>
      <c r="B869" s="289"/>
      <c r="C869" s="289"/>
      <c r="D869" s="289"/>
      <c r="E869" s="290"/>
      <c r="F869" s="289"/>
      <c r="H869" s="38"/>
      <c r="I869" s="23"/>
      <c r="J869" s="24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1.25" customHeight="1">
      <c r="A870" s="289"/>
      <c r="B870" s="289"/>
      <c r="C870" s="289"/>
      <c r="D870" s="289"/>
      <c r="E870" s="290"/>
      <c r="F870" s="289"/>
      <c r="H870" s="38"/>
      <c r="I870" s="23"/>
      <c r="J870" s="24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1.25" customHeight="1">
      <c r="A871" s="289"/>
      <c r="B871" s="289"/>
      <c r="C871" s="289"/>
      <c r="D871" s="289"/>
      <c r="E871" s="290"/>
      <c r="F871" s="289"/>
      <c r="H871" s="38"/>
      <c r="I871" s="23"/>
      <c r="J871" s="24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1.25" customHeight="1">
      <c r="A872" s="289"/>
      <c r="B872" s="289"/>
      <c r="C872" s="289"/>
      <c r="D872" s="289"/>
      <c r="E872" s="290"/>
      <c r="F872" s="289"/>
      <c r="H872" s="38"/>
      <c r="I872" s="23"/>
      <c r="J872" s="24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1.25" customHeight="1">
      <c r="A873" s="289"/>
      <c r="B873" s="289"/>
      <c r="C873" s="289"/>
      <c r="D873" s="289"/>
      <c r="E873" s="290"/>
      <c r="F873" s="289"/>
      <c r="H873" s="38"/>
      <c r="I873" s="23"/>
      <c r="J873" s="24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1.25" customHeight="1">
      <c r="A874" s="289"/>
      <c r="B874" s="289"/>
      <c r="C874" s="289"/>
      <c r="D874" s="289"/>
      <c r="E874" s="290"/>
      <c r="F874" s="289"/>
      <c r="H874" s="38"/>
      <c r="I874" s="23"/>
      <c r="J874" s="24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1.25" customHeight="1">
      <c r="A875" s="289"/>
      <c r="B875" s="289"/>
      <c r="C875" s="289"/>
      <c r="D875" s="289"/>
      <c r="E875" s="290"/>
      <c r="F875" s="289"/>
      <c r="H875" s="38"/>
      <c r="I875" s="23"/>
      <c r="J875" s="24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1.25" customHeight="1">
      <c r="A876" s="289"/>
      <c r="B876" s="289"/>
      <c r="C876" s="289"/>
      <c r="D876" s="289"/>
      <c r="E876" s="290"/>
      <c r="F876" s="289"/>
      <c r="H876" s="38"/>
      <c r="I876" s="23"/>
      <c r="J876" s="24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1.25" customHeight="1">
      <c r="A877" s="289"/>
      <c r="B877" s="289"/>
      <c r="C877" s="289"/>
      <c r="D877" s="289"/>
      <c r="E877" s="290"/>
      <c r="F877" s="289"/>
      <c r="H877" s="38"/>
      <c r="I877" s="23"/>
      <c r="J877" s="24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1.25" customHeight="1">
      <c r="A878" s="289"/>
      <c r="B878" s="289"/>
      <c r="C878" s="289"/>
      <c r="D878" s="289"/>
      <c r="E878" s="290"/>
      <c r="F878" s="289"/>
      <c r="H878" s="38"/>
      <c r="I878" s="23"/>
      <c r="J878" s="24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1.25" customHeight="1">
      <c r="A879" s="289"/>
      <c r="B879" s="289"/>
      <c r="C879" s="289"/>
      <c r="D879" s="289"/>
      <c r="E879" s="290"/>
      <c r="F879" s="289"/>
      <c r="H879" s="38"/>
      <c r="I879" s="23"/>
      <c r="J879" s="24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1.25" customHeight="1">
      <c r="A880" s="289"/>
      <c r="B880" s="289"/>
      <c r="C880" s="289"/>
      <c r="D880" s="289"/>
      <c r="E880" s="290"/>
      <c r="F880" s="289"/>
      <c r="H880" s="38"/>
      <c r="I880" s="23"/>
      <c r="J880" s="24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1.25" customHeight="1">
      <c r="A881" s="289"/>
      <c r="B881" s="289"/>
      <c r="C881" s="289"/>
      <c r="D881" s="289"/>
      <c r="E881" s="290"/>
      <c r="F881" s="289"/>
      <c r="H881" s="38"/>
      <c r="I881" s="23"/>
      <c r="J881" s="24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1.25" customHeight="1">
      <c r="A882" s="289"/>
      <c r="B882" s="289"/>
      <c r="C882" s="289"/>
      <c r="D882" s="289"/>
      <c r="E882" s="290"/>
      <c r="F882" s="289"/>
      <c r="H882" s="38"/>
      <c r="I882" s="23"/>
      <c r="J882" s="24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1.25" customHeight="1">
      <c r="A883" s="289"/>
      <c r="B883" s="289"/>
      <c r="C883" s="289"/>
      <c r="D883" s="289"/>
      <c r="E883" s="290"/>
      <c r="F883" s="289"/>
      <c r="H883" s="38"/>
      <c r="I883" s="23"/>
      <c r="J883" s="24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1.25" customHeight="1">
      <c r="A884" s="289"/>
      <c r="B884" s="289"/>
      <c r="C884" s="289"/>
      <c r="D884" s="289"/>
      <c r="E884" s="290"/>
      <c r="F884" s="289"/>
      <c r="H884" s="38"/>
      <c r="I884" s="23"/>
      <c r="J884" s="24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1.25" customHeight="1">
      <c r="A885" s="289"/>
      <c r="B885" s="289"/>
      <c r="C885" s="289"/>
      <c r="D885" s="289"/>
      <c r="E885" s="290"/>
      <c r="F885" s="289"/>
      <c r="H885" s="38"/>
      <c r="I885" s="23"/>
      <c r="J885" s="24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1.25" customHeight="1">
      <c r="A886" s="289"/>
      <c r="B886" s="289"/>
      <c r="C886" s="289"/>
      <c r="D886" s="289"/>
      <c r="E886" s="290"/>
      <c r="F886" s="289"/>
      <c r="H886" s="38"/>
      <c r="I886" s="23"/>
      <c r="J886" s="24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1.25" customHeight="1">
      <c r="A887" s="289"/>
      <c r="B887" s="289"/>
      <c r="C887" s="289"/>
      <c r="D887" s="289"/>
      <c r="E887" s="290"/>
      <c r="F887" s="289"/>
      <c r="H887" s="38"/>
      <c r="I887" s="23"/>
      <c r="J887" s="24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1.25" customHeight="1">
      <c r="A888" s="289"/>
      <c r="B888" s="289"/>
      <c r="C888" s="289"/>
      <c r="D888" s="289"/>
      <c r="E888" s="290"/>
      <c r="F888" s="289"/>
      <c r="H888" s="38"/>
      <c r="I888" s="23"/>
      <c r="J888" s="24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1.25" customHeight="1">
      <c r="A889" s="289"/>
      <c r="B889" s="289"/>
      <c r="C889" s="289"/>
      <c r="D889" s="289"/>
      <c r="E889" s="290"/>
      <c r="F889" s="289"/>
      <c r="H889" s="38"/>
      <c r="I889" s="23"/>
      <c r="J889" s="24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1.25" customHeight="1">
      <c r="A890" s="289"/>
      <c r="B890" s="289"/>
      <c r="C890" s="289"/>
      <c r="D890" s="289"/>
      <c r="E890" s="290"/>
      <c r="F890" s="289"/>
      <c r="H890" s="38"/>
      <c r="I890" s="23"/>
      <c r="J890" s="24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1.25" customHeight="1">
      <c r="A891" s="289"/>
      <c r="B891" s="289"/>
      <c r="C891" s="289"/>
      <c r="D891" s="289"/>
      <c r="E891" s="290"/>
      <c r="F891" s="289"/>
      <c r="H891" s="38"/>
      <c r="I891" s="23"/>
      <c r="J891" s="24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1.25" customHeight="1">
      <c r="A892" s="289"/>
      <c r="B892" s="289"/>
      <c r="C892" s="289"/>
      <c r="D892" s="289"/>
      <c r="E892" s="290"/>
      <c r="F892" s="289"/>
      <c r="H892" s="38"/>
      <c r="I892" s="23"/>
      <c r="J892" s="24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1.25" customHeight="1">
      <c r="A893" s="289"/>
      <c r="B893" s="289"/>
      <c r="C893" s="289"/>
      <c r="D893" s="289"/>
      <c r="E893" s="290"/>
      <c r="F893" s="289"/>
      <c r="H893" s="38"/>
      <c r="I893" s="23"/>
      <c r="J893" s="24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1.25" customHeight="1">
      <c r="A894" s="289"/>
      <c r="B894" s="289"/>
      <c r="C894" s="289"/>
      <c r="D894" s="289"/>
      <c r="E894" s="290"/>
      <c r="F894" s="289"/>
      <c r="H894" s="38"/>
      <c r="I894" s="23"/>
      <c r="J894" s="24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1.25" customHeight="1">
      <c r="A895" s="289"/>
      <c r="B895" s="289"/>
      <c r="C895" s="289"/>
      <c r="D895" s="289"/>
      <c r="E895" s="290"/>
      <c r="F895" s="289"/>
      <c r="H895" s="38"/>
      <c r="I895" s="23"/>
      <c r="J895" s="24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1.25" customHeight="1">
      <c r="A896" s="289"/>
      <c r="B896" s="289"/>
      <c r="C896" s="289"/>
      <c r="D896" s="289"/>
      <c r="E896" s="290"/>
      <c r="F896" s="289"/>
      <c r="H896" s="38"/>
      <c r="I896" s="23"/>
      <c r="J896" s="24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1.25" customHeight="1">
      <c r="A897" s="289"/>
      <c r="B897" s="289"/>
      <c r="C897" s="289"/>
      <c r="D897" s="289"/>
      <c r="E897" s="290"/>
      <c r="F897" s="289"/>
      <c r="H897" s="38"/>
      <c r="I897" s="23"/>
      <c r="J897" s="24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1.25" customHeight="1">
      <c r="A898" s="289"/>
      <c r="B898" s="289"/>
      <c r="C898" s="289"/>
      <c r="D898" s="289"/>
      <c r="E898" s="290"/>
      <c r="F898" s="289"/>
      <c r="H898" s="38"/>
      <c r="I898" s="23"/>
      <c r="J898" s="24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1.25" customHeight="1">
      <c r="A899" s="289"/>
      <c r="B899" s="289"/>
      <c r="C899" s="289"/>
      <c r="D899" s="289"/>
      <c r="E899" s="290"/>
      <c r="F899" s="289"/>
      <c r="H899" s="38"/>
      <c r="I899" s="23"/>
      <c r="J899" s="24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1.25" customHeight="1">
      <c r="A900" s="289"/>
      <c r="B900" s="289"/>
      <c r="C900" s="289"/>
      <c r="D900" s="289"/>
      <c r="E900" s="290"/>
      <c r="F900" s="289"/>
      <c r="H900" s="38"/>
      <c r="I900" s="23"/>
      <c r="J900" s="24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1.25" customHeight="1">
      <c r="A901" s="289"/>
      <c r="B901" s="289"/>
      <c r="C901" s="289"/>
      <c r="D901" s="289"/>
      <c r="E901" s="290"/>
      <c r="F901" s="289"/>
      <c r="H901" s="38"/>
      <c r="I901" s="23"/>
      <c r="J901" s="24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1.25" customHeight="1">
      <c r="A902" s="289"/>
      <c r="B902" s="289"/>
      <c r="C902" s="289"/>
      <c r="D902" s="289"/>
      <c r="E902" s="290"/>
      <c r="F902" s="289"/>
      <c r="H902" s="38"/>
      <c r="I902" s="23"/>
      <c r="J902" s="24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1.25" customHeight="1">
      <c r="A903" s="289"/>
      <c r="B903" s="289"/>
      <c r="C903" s="289"/>
      <c r="D903" s="289"/>
      <c r="E903" s="290"/>
      <c r="F903" s="289"/>
      <c r="H903" s="38"/>
      <c r="I903" s="23"/>
      <c r="J903" s="24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1.25" customHeight="1">
      <c r="A904" s="289"/>
      <c r="B904" s="289"/>
      <c r="C904" s="289"/>
      <c r="D904" s="289"/>
      <c r="E904" s="290"/>
      <c r="F904" s="289"/>
      <c r="H904" s="38"/>
      <c r="I904" s="23"/>
      <c r="J904" s="24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1.25" customHeight="1">
      <c r="A905" s="289"/>
      <c r="B905" s="289"/>
      <c r="C905" s="289"/>
      <c r="D905" s="289"/>
      <c r="E905" s="290"/>
      <c r="F905" s="289"/>
      <c r="H905" s="38"/>
      <c r="I905" s="23"/>
      <c r="J905" s="24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1.25" customHeight="1">
      <c r="A906" s="289"/>
      <c r="B906" s="289"/>
      <c r="C906" s="289"/>
      <c r="D906" s="289"/>
      <c r="E906" s="290"/>
      <c r="F906" s="289"/>
      <c r="H906" s="38"/>
      <c r="I906" s="23"/>
      <c r="J906" s="24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1.25" customHeight="1">
      <c r="A907" s="289"/>
      <c r="B907" s="289"/>
      <c r="C907" s="289"/>
      <c r="D907" s="289"/>
      <c r="E907" s="290"/>
      <c r="F907" s="289"/>
      <c r="H907" s="38"/>
      <c r="I907" s="23"/>
      <c r="J907" s="24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1.25" customHeight="1">
      <c r="A908" s="289"/>
      <c r="B908" s="289"/>
      <c r="C908" s="289"/>
      <c r="D908" s="289"/>
      <c r="E908" s="290"/>
      <c r="F908" s="289"/>
      <c r="H908" s="38"/>
      <c r="I908" s="23"/>
      <c r="J908" s="24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1.25" customHeight="1">
      <c r="A909" s="289"/>
      <c r="B909" s="289"/>
      <c r="C909" s="289"/>
      <c r="D909" s="289"/>
      <c r="E909" s="290"/>
      <c r="F909" s="289"/>
      <c r="H909" s="38"/>
      <c r="I909" s="23"/>
      <c r="J909" s="24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1.25" customHeight="1">
      <c r="A910" s="289"/>
      <c r="B910" s="289"/>
      <c r="C910" s="289"/>
      <c r="D910" s="289"/>
      <c r="E910" s="290"/>
      <c r="F910" s="289"/>
      <c r="H910" s="38"/>
      <c r="I910" s="23"/>
      <c r="J910" s="24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1.25" customHeight="1">
      <c r="A911" s="289"/>
      <c r="B911" s="289"/>
      <c r="C911" s="289"/>
      <c r="D911" s="289"/>
      <c r="E911" s="290"/>
      <c r="F911" s="289"/>
      <c r="H911" s="38"/>
      <c r="I911" s="23"/>
      <c r="J911" s="24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1.25" customHeight="1">
      <c r="A912" s="289"/>
      <c r="B912" s="289"/>
      <c r="C912" s="289"/>
      <c r="D912" s="289"/>
      <c r="E912" s="290"/>
      <c r="F912" s="289"/>
      <c r="H912" s="38"/>
      <c r="I912" s="23"/>
      <c r="J912" s="24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1.25" customHeight="1">
      <c r="A913" s="289"/>
      <c r="B913" s="289"/>
      <c r="C913" s="289"/>
      <c r="D913" s="289"/>
      <c r="E913" s="290"/>
      <c r="F913" s="289"/>
      <c r="H913" s="38"/>
      <c r="I913" s="23"/>
      <c r="J913" s="24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1.25" customHeight="1">
      <c r="A914" s="289"/>
      <c r="B914" s="289"/>
      <c r="C914" s="289"/>
      <c r="D914" s="289"/>
      <c r="E914" s="290"/>
      <c r="F914" s="289"/>
      <c r="H914" s="38"/>
      <c r="I914" s="23"/>
      <c r="J914" s="24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1.25" customHeight="1">
      <c r="A915" s="289"/>
      <c r="B915" s="289"/>
      <c r="C915" s="289"/>
      <c r="D915" s="289"/>
      <c r="E915" s="290"/>
      <c r="F915" s="289"/>
      <c r="H915" s="38"/>
      <c r="I915" s="23"/>
      <c r="J915" s="24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1.25" customHeight="1">
      <c r="A916" s="289"/>
      <c r="B916" s="289"/>
      <c r="C916" s="289"/>
      <c r="D916" s="289"/>
      <c r="E916" s="290"/>
      <c r="F916" s="289"/>
      <c r="H916" s="38"/>
      <c r="I916" s="23"/>
      <c r="J916" s="24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1.25" customHeight="1">
      <c r="A917" s="289"/>
      <c r="B917" s="289"/>
      <c r="C917" s="289"/>
      <c r="D917" s="289"/>
      <c r="E917" s="290"/>
      <c r="F917" s="289"/>
      <c r="H917" s="38"/>
      <c r="I917" s="23"/>
      <c r="J917" s="24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1.25" customHeight="1">
      <c r="A918" s="289"/>
      <c r="B918" s="289"/>
      <c r="C918" s="289"/>
      <c r="D918" s="289"/>
      <c r="E918" s="290"/>
      <c r="F918" s="289"/>
      <c r="H918" s="38"/>
      <c r="I918" s="23"/>
      <c r="J918" s="24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1.25" customHeight="1">
      <c r="A919" s="289"/>
      <c r="B919" s="289"/>
      <c r="C919" s="289"/>
      <c r="D919" s="289"/>
      <c r="E919" s="290"/>
      <c r="F919" s="289"/>
      <c r="H919" s="38"/>
      <c r="I919" s="23"/>
      <c r="J919" s="24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1.25" customHeight="1">
      <c r="A920" s="289"/>
      <c r="B920" s="289"/>
      <c r="C920" s="289"/>
      <c r="D920" s="289"/>
      <c r="E920" s="290"/>
      <c r="F920" s="289"/>
      <c r="H920" s="38"/>
      <c r="I920" s="23"/>
      <c r="J920" s="24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1.25" customHeight="1">
      <c r="A921" s="289"/>
      <c r="B921" s="289"/>
      <c r="C921" s="289"/>
      <c r="D921" s="289"/>
      <c r="E921" s="290"/>
      <c r="F921" s="289"/>
      <c r="H921" s="38"/>
      <c r="I921" s="23"/>
      <c r="J921" s="24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1.25" customHeight="1">
      <c r="A922" s="289"/>
      <c r="B922" s="289"/>
      <c r="C922" s="289"/>
      <c r="D922" s="289"/>
      <c r="E922" s="290"/>
      <c r="F922" s="289"/>
      <c r="H922" s="38"/>
      <c r="I922" s="23"/>
      <c r="J922" s="24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1.25" customHeight="1">
      <c r="A923" s="289"/>
      <c r="B923" s="289"/>
      <c r="C923" s="289"/>
      <c r="D923" s="289"/>
      <c r="E923" s="290"/>
      <c r="F923" s="289"/>
      <c r="H923" s="38"/>
      <c r="I923" s="23"/>
      <c r="J923" s="24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1.25" customHeight="1">
      <c r="A924" s="289"/>
      <c r="B924" s="289"/>
      <c r="C924" s="289"/>
      <c r="D924" s="289"/>
      <c r="E924" s="290"/>
      <c r="F924" s="289"/>
      <c r="H924" s="38"/>
      <c r="I924" s="23"/>
      <c r="J924" s="24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1.25" customHeight="1">
      <c r="A925" s="289"/>
      <c r="B925" s="289"/>
      <c r="C925" s="289"/>
      <c r="D925" s="289"/>
      <c r="E925" s="290"/>
      <c r="F925" s="289"/>
      <c r="H925" s="38"/>
      <c r="I925" s="23"/>
      <c r="J925" s="24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1.25" customHeight="1">
      <c r="A926" s="289"/>
      <c r="B926" s="289"/>
      <c r="C926" s="289"/>
      <c r="D926" s="289"/>
      <c r="E926" s="290"/>
      <c r="F926" s="289"/>
      <c r="H926" s="38"/>
      <c r="I926" s="23"/>
      <c r="J926" s="24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1.25" customHeight="1">
      <c r="A927" s="289"/>
      <c r="B927" s="289"/>
      <c r="C927" s="289"/>
      <c r="D927" s="289"/>
      <c r="E927" s="290"/>
      <c r="F927" s="289"/>
      <c r="H927" s="38"/>
      <c r="I927" s="23"/>
      <c r="J927" s="24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1.25" customHeight="1">
      <c r="A928" s="289"/>
      <c r="B928" s="289"/>
      <c r="C928" s="289"/>
      <c r="D928" s="289"/>
      <c r="E928" s="290"/>
      <c r="F928" s="289"/>
      <c r="H928" s="38"/>
      <c r="I928" s="23"/>
      <c r="J928" s="24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1.25" customHeight="1">
      <c r="A929" s="289"/>
      <c r="B929" s="289"/>
      <c r="C929" s="289"/>
      <c r="D929" s="289"/>
      <c r="E929" s="290"/>
      <c r="F929" s="289"/>
      <c r="H929" s="38"/>
      <c r="I929" s="23"/>
      <c r="J929" s="24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1.25" customHeight="1">
      <c r="A930" s="289"/>
      <c r="B930" s="289"/>
      <c r="C930" s="289"/>
      <c r="D930" s="289"/>
      <c r="E930" s="290"/>
      <c r="F930" s="289"/>
      <c r="H930" s="38"/>
      <c r="I930" s="23"/>
      <c r="J930" s="24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1.25" customHeight="1">
      <c r="A931" s="289"/>
      <c r="B931" s="289"/>
      <c r="C931" s="289"/>
      <c r="D931" s="289"/>
      <c r="E931" s="290"/>
      <c r="F931" s="289"/>
      <c r="H931" s="38"/>
      <c r="I931" s="23"/>
      <c r="J931" s="24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1.25" customHeight="1">
      <c r="A932" s="289"/>
      <c r="B932" s="289"/>
      <c r="C932" s="289"/>
      <c r="D932" s="289"/>
      <c r="E932" s="290"/>
      <c r="F932" s="289"/>
      <c r="H932" s="38"/>
      <c r="I932" s="23"/>
      <c r="J932" s="24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1.25" customHeight="1">
      <c r="A933" s="289"/>
      <c r="B933" s="289"/>
      <c r="C933" s="289"/>
      <c r="D933" s="289"/>
      <c r="E933" s="290"/>
      <c r="F933" s="289"/>
      <c r="H933" s="38"/>
      <c r="I933" s="23"/>
      <c r="J933" s="24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1.25" customHeight="1">
      <c r="A934" s="289"/>
      <c r="B934" s="289"/>
      <c r="C934" s="289"/>
      <c r="D934" s="289"/>
      <c r="E934" s="290"/>
      <c r="F934" s="289"/>
      <c r="H934" s="38"/>
      <c r="I934" s="23"/>
      <c r="J934" s="24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1.25" customHeight="1">
      <c r="A935" s="289"/>
      <c r="B935" s="289"/>
      <c r="C935" s="289"/>
      <c r="D935" s="289"/>
      <c r="E935" s="290"/>
      <c r="F935" s="289"/>
      <c r="H935" s="38"/>
      <c r="I935" s="23"/>
      <c r="J935" s="24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1.25" customHeight="1">
      <c r="A936" s="289"/>
      <c r="B936" s="289"/>
      <c r="C936" s="289"/>
      <c r="D936" s="289"/>
      <c r="E936" s="290"/>
      <c r="F936" s="289"/>
      <c r="H936" s="38"/>
      <c r="I936" s="23"/>
      <c r="J936" s="24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1.25" customHeight="1">
      <c r="A937" s="289"/>
      <c r="B937" s="289"/>
      <c r="C937" s="289"/>
      <c r="D937" s="289"/>
      <c r="E937" s="290"/>
      <c r="F937" s="289"/>
      <c r="H937" s="38"/>
      <c r="I937" s="23"/>
      <c r="J937" s="24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1.25" customHeight="1">
      <c r="A938" s="289"/>
      <c r="B938" s="289"/>
      <c r="C938" s="289"/>
      <c r="D938" s="289"/>
      <c r="E938" s="290"/>
      <c r="F938" s="289"/>
      <c r="H938" s="38"/>
      <c r="I938" s="23"/>
      <c r="J938" s="24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1.25" customHeight="1">
      <c r="A939" s="289"/>
      <c r="B939" s="289"/>
      <c r="C939" s="289"/>
      <c r="D939" s="289"/>
      <c r="E939" s="290"/>
      <c r="F939" s="289"/>
      <c r="H939" s="38"/>
      <c r="I939" s="23"/>
      <c r="J939" s="24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1.25" customHeight="1">
      <c r="A940" s="289"/>
      <c r="B940" s="289"/>
      <c r="C940" s="289"/>
      <c r="D940" s="289"/>
      <c r="E940" s="290"/>
      <c r="F940" s="289"/>
      <c r="H940" s="38"/>
      <c r="I940" s="23"/>
      <c r="J940" s="24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1.25" customHeight="1">
      <c r="A941" s="289"/>
      <c r="B941" s="289"/>
      <c r="C941" s="289"/>
      <c r="D941" s="289"/>
      <c r="E941" s="290"/>
      <c r="F941" s="289"/>
      <c r="H941" s="38"/>
      <c r="I941" s="23"/>
      <c r="J941" s="24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1.25" customHeight="1">
      <c r="A942" s="289"/>
      <c r="B942" s="289"/>
      <c r="C942" s="289"/>
      <c r="D942" s="289"/>
      <c r="E942" s="290"/>
      <c r="F942" s="289"/>
      <c r="H942" s="38"/>
      <c r="I942" s="23"/>
      <c r="J942" s="24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1.25" customHeight="1">
      <c r="A943" s="289"/>
      <c r="B943" s="289"/>
      <c r="C943" s="289"/>
      <c r="D943" s="289"/>
      <c r="E943" s="290"/>
      <c r="F943" s="289"/>
      <c r="H943" s="38"/>
      <c r="I943" s="23"/>
      <c r="J943" s="24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1.25" customHeight="1">
      <c r="A944" s="289"/>
      <c r="B944" s="289"/>
      <c r="C944" s="289"/>
      <c r="D944" s="289"/>
      <c r="E944" s="290"/>
      <c r="F944" s="289"/>
      <c r="H944" s="38"/>
      <c r="I944" s="23"/>
      <c r="J944" s="24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1.25" customHeight="1">
      <c r="A945" s="289"/>
      <c r="B945" s="289"/>
      <c r="C945" s="289"/>
      <c r="D945" s="289"/>
      <c r="E945" s="290"/>
      <c r="F945" s="289"/>
      <c r="H945" s="38"/>
      <c r="I945" s="23"/>
      <c r="J945" s="24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1.25" customHeight="1">
      <c r="A946" s="289"/>
      <c r="B946" s="289"/>
      <c r="C946" s="289"/>
      <c r="D946" s="289"/>
      <c r="E946" s="290"/>
      <c r="F946" s="289"/>
      <c r="H946" s="38"/>
      <c r="I946" s="23"/>
      <c r="J946" s="24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1.25" customHeight="1">
      <c r="A947" s="289"/>
      <c r="B947" s="289"/>
      <c r="C947" s="289"/>
      <c r="D947" s="289"/>
      <c r="E947" s="290"/>
      <c r="F947" s="289"/>
      <c r="H947" s="38"/>
      <c r="I947" s="23"/>
      <c r="J947" s="24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1.25" customHeight="1">
      <c r="A948" s="289"/>
      <c r="B948" s="289"/>
      <c r="C948" s="289"/>
      <c r="D948" s="289"/>
      <c r="E948" s="290"/>
      <c r="F948" s="289"/>
      <c r="H948" s="38"/>
      <c r="I948" s="23"/>
      <c r="J948" s="24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1.25" customHeight="1">
      <c r="A949" s="289"/>
      <c r="B949" s="289"/>
      <c r="C949" s="289"/>
      <c r="D949" s="289"/>
      <c r="E949" s="290"/>
      <c r="F949" s="289"/>
      <c r="H949" s="38"/>
      <c r="I949" s="23"/>
      <c r="J949" s="24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1.25" customHeight="1">
      <c r="A950" s="289"/>
      <c r="B950" s="289"/>
      <c r="C950" s="289"/>
      <c r="D950" s="289"/>
      <c r="E950" s="290"/>
      <c r="F950" s="289"/>
      <c r="H950" s="38"/>
      <c r="I950" s="23"/>
      <c r="J950" s="24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1.25" customHeight="1">
      <c r="A951" s="289"/>
      <c r="B951" s="289"/>
      <c r="C951" s="289"/>
      <c r="D951" s="289"/>
      <c r="E951" s="290"/>
      <c r="F951" s="289"/>
      <c r="H951" s="38"/>
      <c r="I951" s="23"/>
      <c r="J951" s="24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1.25" customHeight="1">
      <c r="A952" s="289"/>
      <c r="B952" s="289"/>
      <c r="C952" s="289"/>
      <c r="D952" s="289"/>
      <c r="E952" s="290"/>
      <c r="F952" s="289"/>
      <c r="H952" s="38"/>
      <c r="I952" s="23"/>
      <c r="J952" s="24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1.25" customHeight="1">
      <c r="A953" s="289"/>
      <c r="B953" s="289"/>
      <c r="C953" s="289"/>
      <c r="D953" s="289"/>
      <c r="E953" s="290"/>
      <c r="F953" s="289"/>
      <c r="H953" s="38"/>
      <c r="I953" s="23"/>
      <c r="J953" s="24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1.25" customHeight="1">
      <c r="A954" s="289"/>
      <c r="B954" s="289"/>
      <c r="C954" s="289"/>
      <c r="D954" s="289"/>
      <c r="E954" s="290"/>
      <c r="F954" s="289"/>
      <c r="H954" s="38"/>
      <c r="I954" s="23"/>
      <c r="J954" s="24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1.25" customHeight="1">
      <c r="A955" s="289"/>
      <c r="B955" s="289"/>
      <c r="C955" s="289"/>
      <c r="D955" s="289"/>
      <c r="E955" s="290"/>
      <c r="F955" s="289"/>
      <c r="H955" s="38"/>
      <c r="I955" s="23"/>
      <c r="J955" s="24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1.25" customHeight="1">
      <c r="A956" s="289"/>
      <c r="B956" s="289"/>
      <c r="C956" s="289"/>
      <c r="D956" s="289"/>
      <c r="E956" s="290"/>
      <c r="F956" s="289"/>
      <c r="H956" s="38"/>
      <c r="I956" s="23"/>
      <c r="J956" s="24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1.25" customHeight="1">
      <c r="A957" s="289"/>
      <c r="B957" s="289"/>
      <c r="C957" s="289"/>
      <c r="D957" s="289"/>
      <c r="E957" s="290"/>
      <c r="F957" s="289"/>
      <c r="H957" s="38"/>
      <c r="I957" s="23"/>
      <c r="J957" s="24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1.25" customHeight="1">
      <c r="A958" s="289"/>
      <c r="B958" s="289"/>
      <c r="C958" s="289"/>
      <c r="D958" s="289"/>
      <c r="E958" s="290"/>
      <c r="F958" s="289"/>
      <c r="H958" s="38"/>
      <c r="I958" s="23"/>
      <c r="J958" s="24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1.25" customHeight="1">
      <c r="A959" s="289"/>
      <c r="B959" s="289"/>
      <c r="C959" s="289"/>
      <c r="D959" s="289"/>
      <c r="E959" s="290"/>
      <c r="F959" s="289"/>
      <c r="H959" s="38"/>
      <c r="I959" s="23"/>
      <c r="J959" s="24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1.25" customHeight="1">
      <c r="A960" s="289"/>
      <c r="B960" s="289"/>
      <c r="C960" s="289"/>
      <c r="D960" s="289"/>
      <c r="E960" s="290"/>
      <c r="F960" s="289"/>
      <c r="H960" s="38"/>
      <c r="I960" s="23"/>
      <c r="J960" s="24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1.25" customHeight="1">
      <c r="A961" s="289"/>
      <c r="B961" s="289"/>
      <c r="C961" s="289"/>
      <c r="D961" s="289"/>
      <c r="E961" s="290"/>
      <c r="F961" s="289"/>
      <c r="H961" s="38"/>
      <c r="I961" s="23"/>
      <c r="J961" s="24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1.25" customHeight="1">
      <c r="A962" s="289"/>
      <c r="B962" s="289"/>
      <c r="C962" s="289"/>
      <c r="D962" s="289"/>
      <c r="E962" s="290"/>
      <c r="F962" s="289"/>
      <c r="H962" s="38"/>
      <c r="I962" s="23"/>
      <c r="J962" s="24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1.25" customHeight="1">
      <c r="A963" s="289"/>
      <c r="B963" s="289"/>
      <c r="C963" s="289"/>
      <c r="D963" s="289"/>
      <c r="E963" s="290"/>
      <c r="F963" s="289"/>
      <c r="H963" s="38"/>
      <c r="I963" s="23"/>
      <c r="J963" s="24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1.25" customHeight="1">
      <c r="A964" s="289"/>
      <c r="B964" s="289"/>
      <c r="C964" s="289"/>
      <c r="D964" s="289"/>
      <c r="E964" s="290"/>
      <c r="F964" s="289"/>
      <c r="H964" s="38"/>
      <c r="I964" s="23"/>
      <c r="J964" s="24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1.25" customHeight="1">
      <c r="A965" s="289"/>
      <c r="B965" s="289"/>
      <c r="C965" s="289"/>
      <c r="D965" s="289"/>
      <c r="E965" s="290"/>
      <c r="F965" s="289"/>
      <c r="H965" s="38"/>
      <c r="I965" s="23"/>
      <c r="J965" s="24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1.25" customHeight="1">
      <c r="A966" s="289"/>
      <c r="B966" s="289"/>
      <c r="C966" s="289"/>
      <c r="D966" s="289"/>
      <c r="E966" s="290"/>
      <c r="F966" s="289"/>
      <c r="H966" s="38"/>
      <c r="I966" s="23"/>
      <c r="J966" s="24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1.25" customHeight="1">
      <c r="A967" s="289"/>
      <c r="B967" s="289"/>
      <c r="C967" s="289"/>
      <c r="D967" s="289"/>
      <c r="E967" s="290"/>
      <c r="F967" s="289"/>
      <c r="H967" s="38"/>
      <c r="I967" s="23"/>
      <c r="J967" s="24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1.25" customHeight="1">
      <c r="A968" s="289"/>
      <c r="B968" s="289"/>
      <c r="C968" s="289"/>
      <c r="D968" s="289"/>
      <c r="E968" s="290"/>
      <c r="F968" s="289"/>
      <c r="H968" s="38"/>
      <c r="I968" s="23"/>
      <c r="J968" s="24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1.25" customHeight="1">
      <c r="A969" s="289"/>
      <c r="B969" s="289"/>
      <c r="C969" s="289"/>
      <c r="D969" s="289"/>
      <c r="E969" s="290"/>
      <c r="F969" s="289"/>
      <c r="H969" s="38"/>
      <c r="I969" s="23"/>
      <c r="J969" s="24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1.25" customHeight="1">
      <c r="A970" s="289"/>
      <c r="B970" s="289"/>
      <c r="C970" s="289"/>
      <c r="D970" s="289"/>
      <c r="E970" s="290"/>
      <c r="F970" s="289"/>
      <c r="H970" s="38"/>
      <c r="I970" s="23"/>
      <c r="J970" s="24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1.25" customHeight="1">
      <c r="A971" s="289"/>
      <c r="B971" s="289"/>
      <c r="C971" s="289"/>
      <c r="D971" s="289"/>
      <c r="E971" s="290"/>
      <c r="F971" s="289"/>
      <c r="H971" s="38"/>
      <c r="I971" s="23"/>
      <c r="J971" s="24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1.25" customHeight="1">
      <c r="A972" s="289"/>
      <c r="B972" s="289"/>
      <c r="C972" s="289"/>
      <c r="D972" s="289"/>
      <c r="E972" s="290"/>
      <c r="F972" s="289"/>
      <c r="H972" s="38"/>
      <c r="I972" s="23"/>
      <c r="J972" s="24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1.25" customHeight="1">
      <c r="A973" s="289"/>
      <c r="B973" s="289"/>
      <c r="C973" s="289"/>
      <c r="D973" s="289"/>
      <c r="E973" s="290"/>
      <c r="F973" s="289"/>
      <c r="H973" s="38"/>
      <c r="I973" s="23"/>
      <c r="J973" s="24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1.25" customHeight="1">
      <c r="A974" s="289"/>
      <c r="B974" s="289"/>
      <c r="C974" s="289"/>
      <c r="D974" s="289"/>
      <c r="E974" s="290"/>
      <c r="F974" s="289"/>
      <c r="H974" s="38"/>
      <c r="I974" s="23"/>
      <c r="J974" s="24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1.25" customHeight="1">
      <c r="A975" s="289"/>
      <c r="B975" s="289"/>
      <c r="C975" s="289"/>
      <c r="D975" s="289"/>
      <c r="E975" s="290"/>
      <c r="F975" s="289"/>
      <c r="H975" s="38"/>
      <c r="I975" s="23"/>
      <c r="J975" s="24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1.25" customHeight="1">
      <c r="A976" s="289"/>
      <c r="B976" s="289"/>
      <c r="C976" s="289"/>
      <c r="D976" s="289"/>
      <c r="E976" s="290"/>
      <c r="F976" s="289"/>
      <c r="H976" s="38"/>
      <c r="I976" s="23"/>
      <c r="J976" s="24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1.25" customHeight="1">
      <c r="A977" s="289"/>
      <c r="B977" s="289"/>
      <c r="C977" s="289"/>
      <c r="D977" s="289"/>
      <c r="E977" s="290"/>
      <c r="F977" s="289"/>
      <c r="H977" s="38"/>
      <c r="I977" s="23"/>
      <c r="J977" s="24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1.25" customHeight="1">
      <c r="A978" s="289"/>
      <c r="B978" s="289"/>
      <c r="C978" s="289"/>
      <c r="D978" s="289"/>
      <c r="E978" s="290"/>
      <c r="F978" s="289"/>
      <c r="H978" s="38"/>
      <c r="I978" s="23"/>
      <c r="J978" s="24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1.25" customHeight="1">
      <c r="A979" s="289"/>
      <c r="B979" s="289"/>
      <c r="C979" s="289"/>
      <c r="D979" s="289"/>
      <c r="E979" s="290"/>
      <c r="F979" s="289"/>
      <c r="H979" s="38"/>
      <c r="I979" s="23"/>
      <c r="J979" s="24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1.25" customHeight="1">
      <c r="A980" s="289"/>
      <c r="B980" s="289"/>
      <c r="C980" s="289"/>
      <c r="D980" s="289"/>
      <c r="E980" s="290"/>
      <c r="F980" s="289"/>
      <c r="H980" s="38"/>
      <c r="I980" s="23"/>
      <c r="J980" s="24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1.25" customHeight="1">
      <c r="A981" s="289"/>
      <c r="B981" s="289"/>
      <c r="C981" s="289"/>
      <c r="D981" s="289"/>
      <c r="E981" s="290"/>
      <c r="F981" s="289"/>
      <c r="H981" s="38"/>
      <c r="I981" s="23"/>
      <c r="J981" s="24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1.25" customHeight="1">
      <c r="A982" s="289"/>
      <c r="B982" s="289"/>
      <c r="C982" s="289"/>
      <c r="D982" s="289"/>
      <c r="E982" s="290"/>
      <c r="F982" s="289"/>
      <c r="H982" s="38"/>
      <c r="I982" s="23"/>
      <c r="J982" s="24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1.25" customHeight="1">
      <c r="A983" s="289"/>
      <c r="B983" s="289"/>
      <c r="C983" s="289"/>
      <c r="D983" s="289"/>
      <c r="E983" s="290"/>
      <c r="F983" s="289"/>
      <c r="H983" s="38"/>
      <c r="I983" s="23"/>
      <c r="J983" s="24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1.25" customHeight="1">
      <c r="A984" s="289"/>
      <c r="B984" s="289"/>
      <c r="C984" s="289"/>
      <c r="D984" s="289"/>
      <c r="E984" s="290"/>
      <c r="F984" s="289"/>
      <c r="H984" s="38"/>
      <c r="I984" s="23"/>
      <c r="J984" s="24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1.25" customHeight="1">
      <c r="A985" s="289"/>
      <c r="B985" s="289"/>
      <c r="C985" s="289"/>
      <c r="D985" s="289"/>
      <c r="E985" s="290"/>
      <c r="F985" s="289"/>
      <c r="H985" s="38"/>
      <c r="I985" s="23"/>
      <c r="J985" s="24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1.25" customHeight="1">
      <c r="A986" s="289"/>
      <c r="B986" s="289"/>
      <c r="C986" s="289"/>
      <c r="D986" s="289"/>
      <c r="E986" s="290"/>
      <c r="F986" s="289"/>
      <c r="H986" s="38"/>
      <c r="I986" s="23"/>
      <c r="J986" s="24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1.25" customHeight="1">
      <c r="A987" s="289"/>
      <c r="B987" s="289"/>
      <c r="C987" s="289"/>
      <c r="D987" s="289"/>
      <c r="E987" s="290"/>
      <c r="F987" s="289"/>
      <c r="H987" s="38"/>
      <c r="I987" s="23"/>
      <c r="J987" s="24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1.25" customHeight="1">
      <c r="A988" s="289"/>
      <c r="B988" s="289"/>
      <c r="C988" s="289"/>
      <c r="D988" s="289"/>
      <c r="E988" s="290"/>
      <c r="F988" s="289"/>
      <c r="H988" s="38"/>
      <c r="I988" s="23"/>
      <c r="J988" s="24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1.25" customHeight="1">
      <c r="A989" s="289"/>
      <c r="B989" s="289"/>
      <c r="C989" s="289"/>
      <c r="D989" s="289"/>
      <c r="E989" s="290"/>
      <c r="F989" s="289"/>
      <c r="H989" s="38"/>
      <c r="I989" s="23"/>
      <c r="J989" s="24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1.25" customHeight="1">
      <c r="A990" s="289"/>
      <c r="B990" s="289"/>
      <c r="C990" s="289"/>
      <c r="D990" s="289"/>
      <c r="E990" s="290"/>
      <c r="F990" s="289"/>
      <c r="H990" s="38"/>
      <c r="I990" s="23"/>
      <c r="J990" s="24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1.25" customHeight="1">
      <c r="A991" s="289"/>
      <c r="B991" s="289"/>
      <c r="C991" s="289"/>
      <c r="D991" s="289"/>
      <c r="E991" s="290"/>
      <c r="F991" s="289"/>
      <c r="H991" s="38"/>
      <c r="I991" s="23"/>
      <c r="J991" s="24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1.25" customHeight="1">
      <c r="A992" s="289"/>
      <c r="B992" s="289"/>
      <c r="C992" s="289"/>
      <c r="D992" s="289"/>
      <c r="E992" s="290"/>
      <c r="F992" s="289"/>
      <c r="H992" s="38"/>
      <c r="I992" s="23"/>
      <c r="J992" s="24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1.25" customHeight="1">
      <c r="A993" s="289"/>
      <c r="B993" s="289"/>
      <c r="C993" s="289"/>
      <c r="D993" s="289"/>
      <c r="E993" s="290"/>
      <c r="F993" s="289"/>
      <c r="H993" s="38"/>
      <c r="I993" s="23"/>
      <c r="J993" s="24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1.25" customHeight="1">
      <c r="A994" s="289"/>
      <c r="B994" s="289"/>
      <c r="C994" s="289"/>
      <c r="D994" s="289"/>
      <c r="E994" s="290"/>
      <c r="F994" s="289"/>
      <c r="H994" s="38"/>
      <c r="I994" s="23"/>
      <c r="J994" s="24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1.25" customHeight="1">
      <c r="A995" s="289"/>
      <c r="B995" s="289"/>
      <c r="C995" s="289"/>
      <c r="D995" s="289"/>
      <c r="E995" s="290"/>
      <c r="F995" s="289"/>
      <c r="H995" s="38"/>
      <c r="I995" s="23"/>
      <c r="J995" s="24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1.25" customHeight="1">
      <c r="A996" s="289"/>
      <c r="B996" s="289"/>
      <c r="C996" s="289"/>
      <c r="D996" s="289"/>
      <c r="E996" s="290"/>
      <c r="F996" s="289"/>
      <c r="H996" s="38"/>
      <c r="I996" s="23"/>
      <c r="J996" s="24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1.25" customHeight="1">
      <c r="A997" s="289"/>
      <c r="B997" s="289"/>
      <c r="C997" s="289"/>
      <c r="D997" s="289"/>
      <c r="E997" s="290"/>
      <c r="F997" s="289"/>
      <c r="H997" s="38"/>
      <c r="I997" s="23"/>
      <c r="J997" s="24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1.25" customHeight="1">
      <c r="A998" s="289"/>
      <c r="B998" s="289"/>
      <c r="C998" s="289"/>
      <c r="D998" s="289"/>
      <c r="E998" s="290"/>
      <c r="F998" s="289"/>
      <c r="H998" s="38"/>
      <c r="I998" s="23"/>
      <c r="J998" s="24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1.25" customHeight="1">
      <c r="A999" s="289"/>
      <c r="B999" s="289"/>
      <c r="C999" s="289"/>
      <c r="D999" s="289"/>
      <c r="E999" s="290"/>
      <c r="F999" s="289"/>
      <c r="H999" s="38"/>
      <c r="I999" s="23"/>
      <c r="J999" s="24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1.25" customHeight="1">
      <c r="A1000" s="289"/>
      <c r="B1000" s="289"/>
      <c r="C1000" s="289"/>
      <c r="D1000" s="289"/>
      <c r="E1000" s="290"/>
      <c r="F1000" s="289"/>
      <c r="H1000" s="38"/>
      <c r="I1000" s="23"/>
      <c r="J1000" s="24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32">
    <mergeCell ref="A1:J1"/>
    <mergeCell ref="A2:B2"/>
    <mergeCell ref="E2:F2"/>
    <mergeCell ref="A3:B3"/>
    <mergeCell ref="C10:F10"/>
    <mergeCell ref="G10:I10"/>
    <mergeCell ref="G11:I11"/>
    <mergeCell ref="C11:F11"/>
    <mergeCell ref="C12:F12"/>
    <mergeCell ref="G12:I12"/>
    <mergeCell ref="C13:F13"/>
    <mergeCell ref="G13:I13"/>
    <mergeCell ref="C14:F14"/>
    <mergeCell ref="G14:I14"/>
    <mergeCell ref="A15:B15"/>
    <mergeCell ref="C15:E15"/>
    <mergeCell ref="A142:B142"/>
    <mergeCell ref="C142:E142"/>
    <mergeCell ref="A146:B146"/>
    <mergeCell ref="D146:E146"/>
    <mergeCell ref="D147:E147"/>
    <mergeCell ref="A151:C151"/>
    <mergeCell ref="D151:E151"/>
    <mergeCell ref="A152:C152"/>
    <mergeCell ref="D152:E152"/>
    <mergeCell ref="A147:C147"/>
    <mergeCell ref="A148:C148"/>
    <mergeCell ref="D148:E148"/>
    <mergeCell ref="A149:C149"/>
    <mergeCell ref="D149:E149"/>
    <mergeCell ref="A150:C150"/>
    <mergeCell ref="D150:E150"/>
  </mergeCells>
  <printOptions/>
  <pageMargins bottom="0.75" footer="0.0" header="0.0" left="0.7" right="0.7" top="0.75"/>
  <pageSetup scale="96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8.0"/>
    <col customWidth="1" min="2" max="2" width="36.38"/>
    <col customWidth="1" min="3" max="3" width="6.5"/>
    <col customWidth="1" min="4" max="4" width="8.25"/>
    <col customWidth="1" min="5" max="5" width="10.75"/>
    <col customWidth="1" min="6" max="6" width="12.0"/>
    <col customWidth="1" min="7" max="7" width="9.13"/>
    <col customWidth="1" min="8" max="8" width="7.5"/>
    <col customWidth="1" min="9" max="9" width="7.88"/>
    <col customWidth="1" min="10" max="10" width="10.13"/>
    <col customWidth="1" min="11" max="26" width="8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4"/>
      <c r="K1" s="6"/>
      <c r="L1" s="6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0.25" customHeight="1">
      <c r="A2" s="11" t="s">
        <v>7</v>
      </c>
      <c r="B2" s="12"/>
      <c r="C2" s="13"/>
      <c r="D2" s="13"/>
      <c r="E2" s="16" t="s">
        <v>13</v>
      </c>
      <c r="F2" s="17"/>
      <c r="G2" s="19" t="s">
        <v>16</v>
      </c>
      <c r="H2" s="22">
        <f>J152/F152</f>
        <v>0.2039505084</v>
      </c>
      <c r="I2" s="23"/>
      <c r="J2" s="24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29" t="s">
        <v>25</v>
      </c>
      <c r="B3" s="30"/>
      <c r="C3" s="32"/>
      <c r="D3" s="32"/>
      <c r="E3" s="35" t="s">
        <v>28</v>
      </c>
      <c r="F3" s="37"/>
      <c r="H3" s="38"/>
      <c r="I3" s="23"/>
      <c r="J3" s="24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40" t="s">
        <v>35</v>
      </c>
      <c r="B4" s="41" t="s">
        <v>36</v>
      </c>
      <c r="C4" s="42" t="s">
        <v>18</v>
      </c>
      <c r="D4" s="43" t="s">
        <v>19</v>
      </c>
      <c r="E4" s="43" t="s">
        <v>39</v>
      </c>
      <c r="F4" s="44" t="s">
        <v>40</v>
      </c>
      <c r="G4" s="45" t="s">
        <v>41</v>
      </c>
      <c r="H4" s="47" t="s">
        <v>42</v>
      </c>
      <c r="I4" s="45" t="s">
        <v>43</v>
      </c>
      <c r="J4" s="49" t="s">
        <v>45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1.25" customHeight="1">
      <c r="A5" s="52">
        <v>0.0</v>
      </c>
      <c r="B5" s="55" t="s">
        <v>53</v>
      </c>
      <c r="C5" s="56"/>
      <c r="D5" s="56"/>
      <c r="E5" s="59"/>
      <c r="F5" s="56"/>
      <c r="G5" s="61"/>
      <c r="H5" s="63"/>
      <c r="I5" s="65"/>
      <c r="J5" s="66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1.25" customHeight="1">
      <c r="A6" s="52">
        <v>1.0</v>
      </c>
      <c r="B6" s="55" t="s">
        <v>57</v>
      </c>
      <c r="C6" s="56"/>
      <c r="D6" s="56"/>
      <c r="E6" s="59"/>
      <c r="F6" s="56"/>
      <c r="G6" s="72"/>
      <c r="H6" s="74"/>
      <c r="I6" s="65"/>
      <c r="J6" s="66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1.25" customHeight="1">
      <c r="A7" s="77" t="s">
        <v>61</v>
      </c>
      <c r="B7" s="79" t="s">
        <v>63</v>
      </c>
      <c r="C7" s="80" t="s">
        <v>64</v>
      </c>
      <c r="D7" s="82">
        <v>1.0</v>
      </c>
      <c r="E7" s="83">
        <v>1450000.0</v>
      </c>
      <c r="F7" s="84">
        <f t="shared" ref="F7:F8" si="1">D7*E7</f>
        <v>1450000</v>
      </c>
      <c r="G7" s="85">
        <v>1.0</v>
      </c>
      <c r="H7" s="87" t="s">
        <v>42</v>
      </c>
      <c r="I7" s="89">
        <f t="shared" ref="I7:I8" si="2">G7*100%/D7</f>
        <v>1</v>
      </c>
      <c r="J7" s="90">
        <f t="shared" ref="J7:J8" si="3">F7*I7</f>
        <v>1450000</v>
      </c>
      <c r="K7" s="8"/>
      <c r="L7" s="91"/>
      <c r="M7" s="92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1.25" customHeight="1">
      <c r="A8" s="94" t="s">
        <v>72</v>
      </c>
      <c r="B8" s="95" t="s">
        <v>73</v>
      </c>
      <c r="C8" s="98" t="s">
        <v>76</v>
      </c>
      <c r="D8" s="99">
        <v>60.0</v>
      </c>
      <c r="E8" s="100">
        <v>38500.0</v>
      </c>
      <c r="F8" s="84">
        <f t="shared" si="1"/>
        <v>2310000</v>
      </c>
      <c r="G8" s="85">
        <v>30.0</v>
      </c>
      <c r="H8" s="87" t="s">
        <v>78</v>
      </c>
      <c r="I8" s="89">
        <f t="shared" si="2"/>
        <v>0.5</v>
      </c>
      <c r="J8" s="90">
        <f t="shared" si="3"/>
        <v>1155000</v>
      </c>
      <c r="K8" s="8"/>
      <c r="L8" s="91"/>
      <c r="M8" s="92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3.5" customHeight="1">
      <c r="A9" s="104" t="s">
        <v>79</v>
      </c>
      <c r="B9" s="105" t="s">
        <v>80</v>
      </c>
      <c r="C9" s="106"/>
      <c r="D9" s="106"/>
      <c r="E9" s="107"/>
      <c r="F9" s="106"/>
      <c r="G9" s="108"/>
      <c r="H9" s="110"/>
      <c r="I9" s="111"/>
      <c r="J9" s="112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0" customHeight="1">
      <c r="A10" s="113" t="s">
        <v>85</v>
      </c>
      <c r="B10" s="114" t="s">
        <v>86</v>
      </c>
      <c r="C10" s="115" t="s">
        <v>87</v>
      </c>
      <c r="D10" s="116"/>
      <c r="E10" s="116"/>
      <c r="F10" s="117"/>
      <c r="G10" s="118" t="s">
        <v>87</v>
      </c>
      <c r="H10" s="12"/>
      <c r="I10" s="12"/>
      <c r="J10" s="119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0" customHeight="1">
      <c r="A11" s="113" t="s">
        <v>89</v>
      </c>
      <c r="B11" s="114" t="s">
        <v>90</v>
      </c>
      <c r="C11" s="115" t="s">
        <v>87</v>
      </c>
      <c r="D11" s="116"/>
      <c r="E11" s="116"/>
      <c r="F11" s="117"/>
      <c r="G11" s="118" t="s">
        <v>87</v>
      </c>
      <c r="H11" s="12"/>
      <c r="I11" s="12"/>
      <c r="J11" s="119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0" customHeight="1">
      <c r="A12" s="113" t="s">
        <v>92</v>
      </c>
      <c r="B12" s="114" t="s">
        <v>93</v>
      </c>
      <c r="C12" s="115" t="s">
        <v>87</v>
      </c>
      <c r="D12" s="116"/>
      <c r="E12" s="116"/>
      <c r="F12" s="117"/>
      <c r="G12" s="118" t="s">
        <v>87</v>
      </c>
      <c r="H12" s="12"/>
      <c r="I12" s="12"/>
      <c r="J12" s="119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0" customHeight="1">
      <c r="A13" s="113" t="s">
        <v>97</v>
      </c>
      <c r="B13" s="114" t="s">
        <v>98</v>
      </c>
      <c r="C13" s="115" t="s">
        <v>87</v>
      </c>
      <c r="D13" s="116"/>
      <c r="E13" s="116"/>
      <c r="F13" s="117"/>
      <c r="G13" s="118" t="s">
        <v>87</v>
      </c>
      <c r="H13" s="12"/>
      <c r="I13" s="12"/>
      <c r="J13" s="11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0" customHeight="1">
      <c r="A14" s="126" t="s">
        <v>102</v>
      </c>
      <c r="B14" s="127" t="s">
        <v>105</v>
      </c>
      <c r="C14" s="115" t="s">
        <v>87</v>
      </c>
      <c r="D14" s="116"/>
      <c r="E14" s="116"/>
      <c r="F14" s="117"/>
      <c r="G14" s="118" t="s">
        <v>87</v>
      </c>
      <c r="H14" s="12"/>
      <c r="I14" s="12"/>
      <c r="J14" s="119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1.25" customHeight="1">
      <c r="A15" s="132"/>
      <c r="B15" s="4"/>
      <c r="C15" s="135" t="s">
        <v>111</v>
      </c>
      <c r="D15" s="2"/>
      <c r="E15" s="4"/>
      <c r="F15" s="136"/>
      <c r="G15" s="137"/>
      <c r="H15" s="138"/>
      <c r="I15" s="139"/>
      <c r="J15" s="140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1.25" customHeight="1">
      <c r="A16" s="52">
        <v>2.0</v>
      </c>
      <c r="B16" s="143" t="s">
        <v>114</v>
      </c>
      <c r="C16" s="56"/>
      <c r="D16" s="56"/>
      <c r="E16" s="59"/>
      <c r="F16" s="56"/>
      <c r="G16" s="145"/>
      <c r="H16" s="146"/>
      <c r="I16" s="147"/>
      <c r="J16" s="14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1.25" customHeight="1">
      <c r="A17" s="150" t="s">
        <v>115</v>
      </c>
      <c r="B17" s="151" t="s">
        <v>116</v>
      </c>
      <c r="C17" s="152"/>
      <c r="D17" s="152"/>
      <c r="E17" s="153"/>
      <c r="F17" s="152"/>
      <c r="G17" s="154"/>
      <c r="H17" s="155"/>
      <c r="I17" s="156"/>
      <c r="J17" s="15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1.25" customHeight="1">
      <c r="A18" s="104" t="s">
        <v>117</v>
      </c>
      <c r="B18" s="105" t="s">
        <v>118</v>
      </c>
      <c r="C18" s="160"/>
      <c r="D18" s="160"/>
      <c r="E18" s="161"/>
      <c r="F18" s="160"/>
      <c r="G18" s="108"/>
      <c r="H18" s="110"/>
      <c r="I18" s="111"/>
      <c r="J18" s="112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1.25" customHeight="1">
      <c r="A19" s="163" t="s">
        <v>120</v>
      </c>
      <c r="B19" s="165" t="s">
        <v>122</v>
      </c>
      <c r="C19" s="166" t="s">
        <v>5</v>
      </c>
      <c r="D19" s="99">
        <v>609.01</v>
      </c>
      <c r="E19" s="100">
        <f>+P.U!F28</f>
        <v>7246</v>
      </c>
      <c r="F19" s="84">
        <f t="shared" ref="F19:F28" si="4">ROUND(D19*E19,0)</f>
        <v>4412886</v>
      </c>
      <c r="G19" s="85">
        <v>360.0</v>
      </c>
      <c r="H19" s="87" t="s">
        <v>125</v>
      </c>
      <c r="I19" s="89">
        <f t="shared" ref="I19:I28" si="5">G19*100%/D19</f>
        <v>0.5911232985</v>
      </c>
      <c r="J19" s="90">
        <f t="shared" ref="J19:J28" si="6">I19*F19</f>
        <v>2608559.728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1.25" customHeight="1">
      <c r="A20" s="163" t="s">
        <v>126</v>
      </c>
      <c r="B20" s="165" t="s">
        <v>127</v>
      </c>
      <c r="C20" s="166" t="s">
        <v>5</v>
      </c>
      <c r="D20" s="172">
        <v>1271.71</v>
      </c>
      <c r="E20" s="100">
        <f>+P.U!F75</f>
        <v>24172</v>
      </c>
      <c r="F20" s="84">
        <f t="shared" si="4"/>
        <v>30739774</v>
      </c>
      <c r="G20" s="174"/>
      <c r="H20" s="175"/>
      <c r="I20" s="89">
        <f t="shared" si="5"/>
        <v>0</v>
      </c>
      <c r="J20" s="90">
        <f t="shared" si="6"/>
        <v>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1.25" customHeight="1">
      <c r="A21" s="163" t="s">
        <v>129</v>
      </c>
      <c r="B21" s="165" t="s">
        <v>130</v>
      </c>
      <c r="C21" s="166" t="s">
        <v>5</v>
      </c>
      <c r="D21" s="172">
        <v>1880.72</v>
      </c>
      <c r="E21" s="100">
        <f>P.U!F114</f>
        <v>3885</v>
      </c>
      <c r="F21" s="84">
        <f t="shared" si="4"/>
        <v>7306597</v>
      </c>
      <c r="G21" s="85">
        <v>360.0</v>
      </c>
      <c r="H21" s="175"/>
      <c r="I21" s="89">
        <f t="shared" si="5"/>
        <v>0.1914160534</v>
      </c>
      <c r="J21" s="90">
        <f t="shared" si="6"/>
        <v>1398599.962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1.25" customHeight="1">
      <c r="A22" s="163" t="s">
        <v>131</v>
      </c>
      <c r="B22" s="165" t="s">
        <v>132</v>
      </c>
      <c r="C22" s="166" t="s">
        <v>5</v>
      </c>
      <c r="D22" s="172">
        <v>1880.72</v>
      </c>
      <c r="E22" s="100">
        <f>P.U!F159</f>
        <v>2611</v>
      </c>
      <c r="F22" s="84">
        <f t="shared" si="4"/>
        <v>4910560</v>
      </c>
      <c r="G22" s="85">
        <v>360.0</v>
      </c>
      <c r="H22" s="175"/>
      <c r="I22" s="89">
        <f t="shared" si="5"/>
        <v>0.1914160534</v>
      </c>
      <c r="J22" s="90">
        <f t="shared" si="6"/>
        <v>939960.0153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1.25" customHeight="1">
      <c r="A23" s="163" t="s">
        <v>134</v>
      </c>
      <c r="B23" s="165" t="s">
        <v>135</v>
      </c>
      <c r="C23" s="166" t="s">
        <v>5</v>
      </c>
      <c r="D23" s="172">
        <v>1880.72</v>
      </c>
      <c r="E23" s="100">
        <f>P.U!F203</f>
        <v>8920</v>
      </c>
      <c r="F23" s="84">
        <f t="shared" si="4"/>
        <v>16776022</v>
      </c>
      <c r="G23" s="85">
        <v>360.0</v>
      </c>
      <c r="H23" s="87" t="s">
        <v>125</v>
      </c>
      <c r="I23" s="89">
        <f t="shared" si="5"/>
        <v>0.1914160534</v>
      </c>
      <c r="J23" s="90">
        <f t="shared" si="6"/>
        <v>3211199.923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1.25" customHeight="1">
      <c r="A24" s="163" t="s">
        <v>137</v>
      </c>
      <c r="B24" s="165" t="s">
        <v>138</v>
      </c>
      <c r="C24" s="166" t="s">
        <v>5</v>
      </c>
      <c r="D24" s="172">
        <v>1880.72</v>
      </c>
      <c r="E24" s="100">
        <f>P.U!F248</f>
        <v>18515</v>
      </c>
      <c r="F24" s="84">
        <f t="shared" si="4"/>
        <v>34821531</v>
      </c>
      <c r="G24" s="85">
        <v>360.0</v>
      </c>
      <c r="H24" s="175"/>
      <c r="I24" s="89">
        <f t="shared" si="5"/>
        <v>0.1914160534</v>
      </c>
      <c r="J24" s="90">
        <f t="shared" si="6"/>
        <v>6665400.038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1.25" customHeight="1">
      <c r="A25" s="163" t="s">
        <v>140</v>
      </c>
      <c r="B25" s="165" t="s">
        <v>141</v>
      </c>
      <c r="C25" s="166" t="s">
        <v>142</v>
      </c>
      <c r="D25" s="99">
        <v>244.0</v>
      </c>
      <c r="E25" s="100">
        <f>+P.U!F291</f>
        <v>10463</v>
      </c>
      <c r="F25" s="84">
        <f t="shared" si="4"/>
        <v>2552972</v>
      </c>
      <c r="G25" s="174">
        <f>28+15+13</f>
        <v>56</v>
      </c>
      <c r="H25" s="175"/>
      <c r="I25" s="89">
        <f t="shared" si="5"/>
        <v>0.2295081967</v>
      </c>
      <c r="J25" s="90">
        <f t="shared" si="6"/>
        <v>585928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1.25" customHeight="1">
      <c r="A26" s="163" t="s">
        <v>148</v>
      </c>
      <c r="B26" s="165" t="s">
        <v>149</v>
      </c>
      <c r="C26" s="166" t="s">
        <v>142</v>
      </c>
      <c r="D26" s="99">
        <v>175.0</v>
      </c>
      <c r="E26" s="100">
        <f>+P.U!F335</f>
        <v>27608</v>
      </c>
      <c r="F26" s="84">
        <f t="shared" si="4"/>
        <v>4831400</v>
      </c>
      <c r="G26" s="174">
        <f>28+28</f>
        <v>56</v>
      </c>
      <c r="H26" s="175"/>
      <c r="I26" s="89">
        <f t="shared" si="5"/>
        <v>0.32</v>
      </c>
      <c r="J26" s="90">
        <f t="shared" si="6"/>
        <v>1546048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1.25" customHeight="1">
      <c r="A27" s="163" t="s">
        <v>150</v>
      </c>
      <c r="B27" s="165" t="s">
        <v>151</v>
      </c>
      <c r="C27" s="166" t="s">
        <v>142</v>
      </c>
      <c r="D27" s="99">
        <v>102.2</v>
      </c>
      <c r="E27" s="100">
        <f>+P.U!F379</f>
        <v>6368</v>
      </c>
      <c r="F27" s="84">
        <f t="shared" si="4"/>
        <v>650810</v>
      </c>
      <c r="G27" s="85">
        <v>102.2</v>
      </c>
      <c r="H27" s="175"/>
      <c r="I27" s="89">
        <f t="shared" si="5"/>
        <v>1</v>
      </c>
      <c r="J27" s="90">
        <f t="shared" si="6"/>
        <v>650810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1.25" customHeight="1">
      <c r="A28" s="163" t="s">
        <v>155</v>
      </c>
      <c r="B28" s="165" t="s">
        <v>156</v>
      </c>
      <c r="C28" s="166" t="s">
        <v>5</v>
      </c>
      <c r="D28" s="99">
        <v>230.0</v>
      </c>
      <c r="E28" s="100">
        <f>+P.U!F425</f>
        <v>17037</v>
      </c>
      <c r="F28" s="84">
        <f t="shared" si="4"/>
        <v>3918510</v>
      </c>
      <c r="G28" s="174"/>
      <c r="H28" s="175"/>
      <c r="I28" s="89">
        <f t="shared" si="5"/>
        <v>0</v>
      </c>
      <c r="J28" s="90">
        <f t="shared" si="6"/>
        <v>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1.25" customHeight="1">
      <c r="A29" s="104" t="s">
        <v>157</v>
      </c>
      <c r="B29" s="105" t="s">
        <v>158</v>
      </c>
      <c r="C29" s="160"/>
      <c r="D29" s="160"/>
      <c r="E29" s="161"/>
      <c r="F29" s="160"/>
      <c r="G29" s="108"/>
      <c r="H29" s="110"/>
      <c r="I29" s="110"/>
      <c r="J29" s="182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1.25" customHeight="1">
      <c r="A30" s="163" t="s">
        <v>159</v>
      </c>
      <c r="B30" s="165" t="s">
        <v>160</v>
      </c>
      <c r="C30" s="166" t="s">
        <v>5</v>
      </c>
      <c r="D30" s="172">
        <v>1376.95</v>
      </c>
      <c r="E30" s="100">
        <f>+P.U!F469</f>
        <v>3995</v>
      </c>
      <c r="F30" s="84">
        <f t="shared" ref="F30:F37" si="7">ROUND(D30*E30,0)</f>
        <v>5500915</v>
      </c>
      <c r="G30" s="85">
        <f>(36.3*7)+55.5+17.5</f>
        <v>327.1</v>
      </c>
      <c r="H30" s="87" t="s">
        <v>125</v>
      </c>
      <c r="I30" s="89">
        <f t="shared" ref="I30:I37" si="8">G30*100%/D30</f>
        <v>0.2375540143</v>
      </c>
      <c r="J30" s="90">
        <f t="shared" ref="J30:J37" si="9">I30*F30</f>
        <v>1306764.441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1.25" customHeight="1">
      <c r="A31" s="163" t="s">
        <v>161</v>
      </c>
      <c r="B31" s="165" t="s">
        <v>162</v>
      </c>
      <c r="C31" s="166" t="s">
        <v>5</v>
      </c>
      <c r="D31" s="99">
        <v>162.96</v>
      </c>
      <c r="E31" s="100">
        <f>+P.U!F513</f>
        <v>25485</v>
      </c>
      <c r="F31" s="84">
        <f t="shared" si="7"/>
        <v>4153036</v>
      </c>
      <c r="G31" s="174"/>
      <c r="H31" s="175"/>
      <c r="I31" s="89">
        <f t="shared" si="8"/>
        <v>0</v>
      </c>
      <c r="J31" s="90">
        <f t="shared" si="9"/>
        <v>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1.25" customHeight="1">
      <c r="A32" s="163" t="s">
        <v>165</v>
      </c>
      <c r="B32" s="165" t="s">
        <v>166</v>
      </c>
      <c r="C32" s="166" t="s">
        <v>5</v>
      </c>
      <c r="D32" s="172">
        <v>1047.99</v>
      </c>
      <c r="E32" s="100">
        <f>+P.U!F557</f>
        <v>37262</v>
      </c>
      <c r="F32" s="84">
        <f t="shared" si="7"/>
        <v>39050203</v>
      </c>
      <c r="G32" s="85">
        <v>327.1</v>
      </c>
      <c r="H32" s="87" t="s">
        <v>125</v>
      </c>
      <c r="I32" s="89">
        <f t="shared" si="8"/>
        <v>0.3121212989</v>
      </c>
      <c r="J32" s="90">
        <f t="shared" si="9"/>
        <v>12188400.08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1.25" customHeight="1">
      <c r="A33" s="163" t="s">
        <v>169</v>
      </c>
      <c r="B33" s="165" t="s">
        <v>170</v>
      </c>
      <c r="C33" s="166" t="s">
        <v>142</v>
      </c>
      <c r="D33" s="99">
        <v>798.3</v>
      </c>
      <c r="E33" s="100">
        <f>+P.U!F601</f>
        <v>6867</v>
      </c>
      <c r="F33" s="84">
        <f t="shared" si="7"/>
        <v>5481926</v>
      </c>
      <c r="G33" s="85">
        <f>(24.5*8)</f>
        <v>196</v>
      </c>
      <c r="H33" s="87" t="s">
        <v>171</v>
      </c>
      <c r="I33" s="89">
        <f t="shared" si="8"/>
        <v>0.2455217337</v>
      </c>
      <c r="J33" s="90">
        <f t="shared" si="9"/>
        <v>1345931.975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1.25" customHeight="1">
      <c r="A34" s="163" t="s">
        <v>172</v>
      </c>
      <c r="B34" s="165" t="s">
        <v>173</v>
      </c>
      <c r="C34" s="166" t="s">
        <v>142</v>
      </c>
      <c r="D34" s="99">
        <v>166.0</v>
      </c>
      <c r="E34" s="100">
        <f>+P.U!F645</f>
        <v>53974</v>
      </c>
      <c r="F34" s="84">
        <f t="shared" si="7"/>
        <v>8959684</v>
      </c>
      <c r="G34" s="85">
        <v>166.0</v>
      </c>
      <c r="H34" s="175"/>
      <c r="I34" s="89">
        <f t="shared" si="8"/>
        <v>1</v>
      </c>
      <c r="J34" s="90">
        <f t="shared" si="9"/>
        <v>8959684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1.25" customHeight="1">
      <c r="A35" s="163" t="s">
        <v>174</v>
      </c>
      <c r="B35" s="165" t="s">
        <v>175</v>
      </c>
      <c r="C35" s="166" t="s">
        <v>30</v>
      </c>
      <c r="D35" s="99">
        <v>5.0</v>
      </c>
      <c r="E35" s="100">
        <f>+P.U!F689</f>
        <v>7125</v>
      </c>
      <c r="F35" s="84">
        <f t="shared" si="7"/>
        <v>35625</v>
      </c>
      <c r="G35" s="174"/>
      <c r="H35" s="175"/>
      <c r="I35" s="89">
        <f t="shared" si="8"/>
        <v>0</v>
      </c>
      <c r="J35" s="90">
        <f t="shared" si="9"/>
        <v>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1.25" customHeight="1">
      <c r="A36" s="163" t="s">
        <v>176</v>
      </c>
      <c r="B36" s="165" t="s">
        <v>177</v>
      </c>
      <c r="C36" s="166" t="s">
        <v>5</v>
      </c>
      <c r="D36" s="99">
        <v>419.0</v>
      </c>
      <c r="E36" s="100">
        <f>+P.U!F733</f>
        <v>20825</v>
      </c>
      <c r="F36" s="84">
        <f t="shared" si="7"/>
        <v>8725675</v>
      </c>
      <c r="G36" s="174"/>
      <c r="H36" s="175"/>
      <c r="I36" s="89">
        <f t="shared" si="8"/>
        <v>0</v>
      </c>
      <c r="J36" s="90">
        <f t="shared" si="9"/>
        <v>0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1.25" customHeight="1">
      <c r="A37" s="163" t="s">
        <v>178</v>
      </c>
      <c r="B37" s="165" t="s">
        <v>179</v>
      </c>
      <c r="C37" s="166" t="s">
        <v>5</v>
      </c>
      <c r="D37" s="99">
        <v>138.8</v>
      </c>
      <c r="E37" s="100">
        <f>+P.U!F777</f>
        <v>70625</v>
      </c>
      <c r="F37" s="84">
        <f t="shared" si="7"/>
        <v>9802750</v>
      </c>
      <c r="G37" s="174"/>
      <c r="H37" s="175"/>
      <c r="I37" s="89">
        <f t="shared" si="8"/>
        <v>0</v>
      </c>
      <c r="J37" s="90">
        <f t="shared" si="9"/>
        <v>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1.25" customHeight="1">
      <c r="A38" s="194" t="s">
        <v>180</v>
      </c>
      <c r="B38" s="195" t="s">
        <v>181</v>
      </c>
      <c r="C38" s="197"/>
      <c r="D38" s="197"/>
      <c r="E38" s="198"/>
      <c r="F38" s="197"/>
      <c r="G38" s="154"/>
      <c r="H38" s="155"/>
      <c r="I38" s="155"/>
      <c r="J38" s="199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1.25" customHeight="1">
      <c r="A39" s="163" t="s">
        <v>182</v>
      </c>
      <c r="B39" s="165" t="s">
        <v>183</v>
      </c>
      <c r="C39" s="166" t="s">
        <v>5</v>
      </c>
      <c r="D39" s="99">
        <v>377.56</v>
      </c>
      <c r="E39" s="100">
        <f>+P.U!F821</f>
        <v>20560</v>
      </c>
      <c r="F39" s="84">
        <f t="shared" ref="F39:F44" si="10">ROUND(D39*E39,0)</f>
        <v>7762634</v>
      </c>
      <c r="G39" s="174"/>
      <c r="H39" s="175"/>
      <c r="I39" s="89">
        <f t="shared" ref="I39:I44" si="11">G39*100%/D39</f>
        <v>0</v>
      </c>
      <c r="J39" s="90">
        <f t="shared" ref="J39:J44" si="12">I39*F39</f>
        <v>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1.25" customHeight="1">
      <c r="A40" s="163" t="s">
        <v>185</v>
      </c>
      <c r="B40" s="165" t="s">
        <v>186</v>
      </c>
      <c r="C40" s="166" t="s">
        <v>5</v>
      </c>
      <c r="D40" s="172">
        <v>2312.09</v>
      </c>
      <c r="E40" s="100">
        <f>+P.U!F865</f>
        <v>9445</v>
      </c>
      <c r="F40" s="84">
        <f t="shared" si="10"/>
        <v>21837690</v>
      </c>
      <c r="G40" s="85">
        <v>1205.72</v>
      </c>
      <c r="H40" s="87" t="s">
        <v>125</v>
      </c>
      <c r="I40" s="89">
        <f t="shared" si="11"/>
        <v>0.5214848903</v>
      </c>
      <c r="J40" s="90">
        <f t="shared" si="12"/>
        <v>11388025.37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1.25" customHeight="1">
      <c r="A41" s="163" t="s">
        <v>189</v>
      </c>
      <c r="B41" s="165" t="s">
        <v>190</v>
      </c>
      <c r="C41" s="166" t="s">
        <v>30</v>
      </c>
      <c r="D41" s="99">
        <v>15.0</v>
      </c>
      <c r="E41" s="100">
        <f>+P.U!F909</f>
        <v>7350</v>
      </c>
      <c r="F41" s="84">
        <f t="shared" si="10"/>
        <v>110250</v>
      </c>
      <c r="G41" s="174"/>
      <c r="H41" s="175"/>
      <c r="I41" s="89">
        <f t="shared" si="11"/>
        <v>0</v>
      </c>
      <c r="J41" s="90">
        <f t="shared" si="12"/>
        <v>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1.25" customHeight="1">
      <c r="A42" s="163" t="s">
        <v>192</v>
      </c>
      <c r="B42" s="165" t="s">
        <v>193</v>
      </c>
      <c r="C42" s="166" t="s">
        <v>5</v>
      </c>
      <c r="D42" s="99">
        <v>975.38</v>
      </c>
      <c r="E42" s="100">
        <f>+P.U!F953</f>
        <v>18213</v>
      </c>
      <c r="F42" s="84">
        <f t="shared" si="10"/>
        <v>17764596</v>
      </c>
      <c r="G42" s="174"/>
      <c r="H42" s="175"/>
      <c r="I42" s="89">
        <f t="shared" si="11"/>
        <v>0</v>
      </c>
      <c r="J42" s="90">
        <f t="shared" si="12"/>
        <v>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1.25" customHeight="1">
      <c r="A43" s="163" t="s">
        <v>194</v>
      </c>
      <c r="B43" s="165" t="s">
        <v>195</v>
      </c>
      <c r="C43" s="166" t="s">
        <v>5</v>
      </c>
      <c r="D43" s="99">
        <v>629.1</v>
      </c>
      <c r="E43" s="100">
        <f>+P.U!F997</f>
        <v>17926</v>
      </c>
      <c r="F43" s="84">
        <f t="shared" si="10"/>
        <v>11277247</v>
      </c>
      <c r="G43" s="174"/>
      <c r="H43" s="175"/>
      <c r="I43" s="89">
        <f t="shared" si="11"/>
        <v>0</v>
      </c>
      <c r="J43" s="90">
        <f t="shared" si="12"/>
        <v>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1.25" customHeight="1">
      <c r="A44" s="163" t="s">
        <v>196</v>
      </c>
      <c r="B44" s="165" t="s">
        <v>197</v>
      </c>
      <c r="C44" s="166" t="s">
        <v>5</v>
      </c>
      <c r="D44" s="99">
        <v>629.1</v>
      </c>
      <c r="E44" s="100">
        <f>+P.U!F1041</f>
        <v>13208</v>
      </c>
      <c r="F44" s="84">
        <f t="shared" si="10"/>
        <v>8309153</v>
      </c>
      <c r="G44" s="174"/>
      <c r="H44" s="175"/>
      <c r="I44" s="89">
        <f t="shared" si="11"/>
        <v>0</v>
      </c>
      <c r="J44" s="90">
        <f t="shared" si="12"/>
        <v>0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1.25" customHeight="1">
      <c r="A45" s="194" t="s">
        <v>199</v>
      </c>
      <c r="B45" s="195" t="s">
        <v>200</v>
      </c>
      <c r="C45" s="197"/>
      <c r="D45" s="197"/>
      <c r="E45" s="198"/>
      <c r="F45" s="197"/>
      <c r="G45" s="154"/>
      <c r="H45" s="155"/>
      <c r="I45" s="155"/>
      <c r="J45" s="199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1.25" customHeight="1">
      <c r="A46" s="163" t="s">
        <v>201</v>
      </c>
      <c r="B46" s="165" t="s">
        <v>202</v>
      </c>
      <c r="C46" s="166" t="s">
        <v>5</v>
      </c>
      <c r="D46" s="172">
        <v>1076.74</v>
      </c>
      <c r="E46" s="100">
        <f>+P.U!F1089</f>
        <v>19992</v>
      </c>
      <c r="F46" s="84">
        <f t="shared" ref="F46:F48" si="13">ROUND(D46*E46,0)</f>
        <v>21526186</v>
      </c>
      <c r="G46" s="85">
        <v>175.0</v>
      </c>
      <c r="H46" s="87" t="s">
        <v>125</v>
      </c>
      <c r="I46" s="89">
        <f t="shared" ref="I46:I48" si="14">G46*100%/D46</f>
        <v>0.1625276297</v>
      </c>
      <c r="J46" s="90">
        <f t="shared" ref="J46:J48" si="15">I46*F46</f>
        <v>3498599.987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1.25" customHeight="1">
      <c r="A47" s="163" t="s">
        <v>203</v>
      </c>
      <c r="B47" s="165" t="s">
        <v>204</v>
      </c>
      <c r="C47" s="166" t="s">
        <v>5</v>
      </c>
      <c r="D47" s="99">
        <v>508.38</v>
      </c>
      <c r="E47" s="100">
        <f>+P.U!F1129</f>
        <v>10666</v>
      </c>
      <c r="F47" s="84">
        <f t="shared" si="13"/>
        <v>5422381</v>
      </c>
      <c r="G47" s="85">
        <v>479.0</v>
      </c>
      <c r="H47" s="175"/>
      <c r="I47" s="89">
        <f t="shared" si="14"/>
        <v>0.9422085841</v>
      </c>
      <c r="J47" s="90">
        <f t="shared" si="15"/>
        <v>5109013.925</v>
      </c>
      <c r="K47" s="8"/>
      <c r="L47" s="91"/>
      <c r="M47" s="91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1.25" customHeight="1">
      <c r="A48" s="163" t="s">
        <v>206</v>
      </c>
      <c r="B48" s="165" t="s">
        <v>207</v>
      </c>
      <c r="C48" s="166" t="s">
        <v>5</v>
      </c>
      <c r="D48" s="99">
        <v>553.18</v>
      </c>
      <c r="E48" s="100">
        <f>+P.U!F1174</f>
        <v>25321</v>
      </c>
      <c r="F48" s="84">
        <f t="shared" si="13"/>
        <v>14007071</v>
      </c>
      <c r="G48" s="85">
        <v>180.0</v>
      </c>
      <c r="H48" s="175"/>
      <c r="I48" s="89">
        <f t="shared" si="14"/>
        <v>0.3253913735</v>
      </c>
      <c r="J48" s="90">
        <f t="shared" si="15"/>
        <v>4557780.072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1.25" customHeight="1">
      <c r="A49" s="194" t="s">
        <v>209</v>
      </c>
      <c r="B49" s="195" t="s">
        <v>210</v>
      </c>
      <c r="C49" s="197"/>
      <c r="D49" s="197"/>
      <c r="E49" s="198"/>
      <c r="F49" s="197"/>
      <c r="G49" s="154"/>
      <c r="H49" s="155"/>
      <c r="I49" s="155"/>
      <c r="J49" s="199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1.25" customHeight="1">
      <c r="A50" s="163" t="s">
        <v>213</v>
      </c>
      <c r="B50" s="165" t="s">
        <v>214</v>
      </c>
      <c r="C50" s="166" t="s">
        <v>5</v>
      </c>
      <c r="D50" s="99">
        <v>287.3</v>
      </c>
      <c r="E50" s="100">
        <f>+P.U!F1217</f>
        <v>4675</v>
      </c>
      <c r="F50" s="84">
        <f t="shared" ref="F50:F73" si="16">ROUND(D50*E50,0)</f>
        <v>1343128</v>
      </c>
      <c r="G50" s="85">
        <v>63.36</v>
      </c>
      <c r="H50" s="87" t="s">
        <v>125</v>
      </c>
      <c r="I50" s="89">
        <f t="shared" ref="I50:I73" si="17">G50*100%/D50</f>
        <v>0.2205360251</v>
      </c>
      <c r="J50" s="90">
        <f t="shared" ref="J50:J73" si="18">I50*F50</f>
        <v>296208.1103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1.25" customHeight="1">
      <c r="A51" s="163" t="s">
        <v>218</v>
      </c>
      <c r="B51" s="165" t="s">
        <v>219</v>
      </c>
      <c r="C51" s="166" t="s">
        <v>142</v>
      </c>
      <c r="D51" s="99">
        <v>907.0</v>
      </c>
      <c r="E51" s="100">
        <f>+P.U!F1261</f>
        <v>8743</v>
      </c>
      <c r="F51" s="84">
        <f t="shared" si="16"/>
        <v>7929901</v>
      </c>
      <c r="G51" s="174">
        <f>(((1.6+1.6+1.6+1.6)*15))+(((0.65*0.65+1.6+1.6)*24))</f>
        <v>182.94</v>
      </c>
      <c r="H51" s="87" t="s">
        <v>142</v>
      </c>
      <c r="I51" s="89">
        <f t="shared" si="17"/>
        <v>0.2016979052</v>
      </c>
      <c r="J51" s="90">
        <f t="shared" si="18"/>
        <v>1599444.42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1.25" customHeight="1">
      <c r="A52" s="163" t="s">
        <v>220</v>
      </c>
      <c r="B52" s="165" t="s">
        <v>221</v>
      </c>
      <c r="C52" s="166" t="s">
        <v>30</v>
      </c>
      <c r="D52" s="99">
        <v>4.0</v>
      </c>
      <c r="E52" s="100">
        <v>635500.0</v>
      </c>
      <c r="F52" s="84">
        <f t="shared" si="16"/>
        <v>2542000</v>
      </c>
      <c r="G52" s="174"/>
      <c r="H52" s="175"/>
      <c r="I52" s="89">
        <f t="shared" si="17"/>
        <v>0</v>
      </c>
      <c r="J52" s="90">
        <f t="shared" si="18"/>
        <v>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1.25" customHeight="1">
      <c r="A53" s="163" t="s">
        <v>222</v>
      </c>
      <c r="B53" s="165" t="s">
        <v>223</v>
      </c>
      <c r="C53" s="166" t="s">
        <v>30</v>
      </c>
      <c r="D53" s="99">
        <v>1.0</v>
      </c>
      <c r="E53" s="100">
        <v>582400.0</v>
      </c>
      <c r="F53" s="84">
        <f t="shared" si="16"/>
        <v>582400</v>
      </c>
      <c r="G53" s="174"/>
      <c r="H53" s="175"/>
      <c r="I53" s="89">
        <f t="shared" si="17"/>
        <v>0</v>
      </c>
      <c r="J53" s="90">
        <f t="shared" si="18"/>
        <v>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1.25" customHeight="1">
      <c r="A54" s="163" t="s">
        <v>225</v>
      </c>
      <c r="B54" s="165" t="s">
        <v>226</v>
      </c>
      <c r="C54" s="166" t="s">
        <v>30</v>
      </c>
      <c r="D54" s="99">
        <v>1.0</v>
      </c>
      <c r="E54" s="100">
        <v>945000.0</v>
      </c>
      <c r="F54" s="84">
        <f t="shared" si="16"/>
        <v>945000</v>
      </c>
      <c r="G54" s="174"/>
      <c r="H54" s="175"/>
      <c r="I54" s="89">
        <f t="shared" si="17"/>
        <v>0</v>
      </c>
      <c r="J54" s="90">
        <f t="shared" si="18"/>
        <v>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1.25" customHeight="1">
      <c r="A55" s="163" t="s">
        <v>227</v>
      </c>
      <c r="B55" s="165" t="s">
        <v>228</v>
      </c>
      <c r="C55" s="166" t="s">
        <v>30</v>
      </c>
      <c r="D55" s="99">
        <v>2.0</v>
      </c>
      <c r="E55" s="100">
        <v>207500.0</v>
      </c>
      <c r="F55" s="84">
        <f t="shared" si="16"/>
        <v>415000</v>
      </c>
      <c r="G55" s="174"/>
      <c r="H55" s="175"/>
      <c r="I55" s="89">
        <f t="shared" si="17"/>
        <v>0</v>
      </c>
      <c r="J55" s="90">
        <f t="shared" si="18"/>
        <v>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1.25" customHeight="1">
      <c r="A56" s="163" t="s">
        <v>229</v>
      </c>
      <c r="B56" s="165" t="s">
        <v>230</v>
      </c>
      <c r="C56" s="166" t="s">
        <v>30</v>
      </c>
      <c r="D56" s="99">
        <v>2.0</v>
      </c>
      <c r="E56" s="100">
        <v>315500.0</v>
      </c>
      <c r="F56" s="84">
        <f t="shared" si="16"/>
        <v>631000</v>
      </c>
      <c r="G56" s="174"/>
      <c r="H56" s="175"/>
      <c r="I56" s="89">
        <f t="shared" si="17"/>
        <v>0</v>
      </c>
      <c r="J56" s="90">
        <f t="shared" si="18"/>
        <v>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1.25" customHeight="1">
      <c r="A57" s="163" t="s">
        <v>231</v>
      </c>
      <c r="B57" s="165" t="s">
        <v>232</v>
      </c>
      <c r="C57" s="166" t="s">
        <v>30</v>
      </c>
      <c r="D57" s="99">
        <v>3.0</v>
      </c>
      <c r="E57" s="100">
        <v>150000.0</v>
      </c>
      <c r="F57" s="84">
        <f t="shared" si="16"/>
        <v>450000</v>
      </c>
      <c r="G57" s="174"/>
      <c r="H57" s="175"/>
      <c r="I57" s="89">
        <f t="shared" si="17"/>
        <v>0</v>
      </c>
      <c r="J57" s="90">
        <f t="shared" si="18"/>
        <v>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1.25" customHeight="1">
      <c r="A58" s="163" t="s">
        <v>233</v>
      </c>
      <c r="B58" s="165" t="s">
        <v>234</v>
      </c>
      <c r="C58" s="166" t="s">
        <v>30</v>
      </c>
      <c r="D58" s="99">
        <v>16.0</v>
      </c>
      <c r="E58" s="100">
        <v>198500.0</v>
      </c>
      <c r="F58" s="84">
        <f t="shared" si="16"/>
        <v>3176000</v>
      </c>
      <c r="G58" s="174"/>
      <c r="H58" s="175"/>
      <c r="I58" s="89">
        <f t="shared" si="17"/>
        <v>0</v>
      </c>
      <c r="J58" s="90">
        <f t="shared" si="18"/>
        <v>0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1.25" customHeight="1">
      <c r="A59" s="214">
        <v>40215.0</v>
      </c>
      <c r="B59" s="165" t="s">
        <v>235</v>
      </c>
      <c r="C59" s="166" t="s">
        <v>30</v>
      </c>
      <c r="D59" s="99">
        <v>14.0</v>
      </c>
      <c r="E59" s="100">
        <v>485000.0</v>
      </c>
      <c r="F59" s="84">
        <f t="shared" si="16"/>
        <v>6790000</v>
      </c>
      <c r="G59" s="174"/>
      <c r="H59" s="175"/>
      <c r="I59" s="89">
        <f t="shared" si="17"/>
        <v>0</v>
      </c>
      <c r="J59" s="90">
        <f t="shared" si="18"/>
        <v>0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1.25" customHeight="1">
      <c r="A60" s="214">
        <v>40580.0</v>
      </c>
      <c r="B60" s="165" t="s">
        <v>236</v>
      </c>
      <c r="C60" s="166" t="s">
        <v>30</v>
      </c>
      <c r="D60" s="99">
        <v>12.0</v>
      </c>
      <c r="E60" s="100">
        <v>985000.0</v>
      </c>
      <c r="F60" s="84">
        <f t="shared" si="16"/>
        <v>11820000</v>
      </c>
      <c r="G60" s="174"/>
      <c r="H60" s="175"/>
      <c r="I60" s="89">
        <f t="shared" si="17"/>
        <v>0</v>
      </c>
      <c r="J60" s="90">
        <f t="shared" si="18"/>
        <v>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1.25" customHeight="1">
      <c r="A61" s="214">
        <v>40945.0</v>
      </c>
      <c r="B61" s="165" t="s">
        <v>238</v>
      </c>
      <c r="C61" s="166" t="s">
        <v>30</v>
      </c>
      <c r="D61" s="99">
        <v>12.0</v>
      </c>
      <c r="E61" s="100">
        <v>1250000.0</v>
      </c>
      <c r="F61" s="84">
        <f t="shared" si="16"/>
        <v>15000000</v>
      </c>
      <c r="G61" s="85"/>
      <c r="H61" s="175"/>
      <c r="I61" s="89">
        <f t="shared" si="17"/>
        <v>0</v>
      </c>
      <c r="J61" s="90">
        <f t="shared" si="18"/>
        <v>0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1.25" customHeight="1">
      <c r="A62" s="214">
        <v>41311.0</v>
      </c>
      <c r="B62" s="165" t="s">
        <v>240</v>
      </c>
      <c r="C62" s="166" t="s">
        <v>30</v>
      </c>
      <c r="D62" s="99">
        <v>3.0</v>
      </c>
      <c r="E62" s="100">
        <v>165000.0</v>
      </c>
      <c r="F62" s="84">
        <f t="shared" si="16"/>
        <v>495000</v>
      </c>
      <c r="G62" s="174"/>
      <c r="H62" s="175"/>
      <c r="I62" s="89">
        <f t="shared" si="17"/>
        <v>0</v>
      </c>
      <c r="J62" s="90">
        <f t="shared" si="18"/>
        <v>0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1.25" customHeight="1">
      <c r="A63" s="214">
        <v>41676.0</v>
      </c>
      <c r="B63" s="165" t="s">
        <v>243</v>
      </c>
      <c r="C63" s="166" t="s">
        <v>30</v>
      </c>
      <c r="D63" s="99">
        <v>4.0</v>
      </c>
      <c r="E63" s="100">
        <v>185500.0</v>
      </c>
      <c r="F63" s="84">
        <f t="shared" si="16"/>
        <v>742000</v>
      </c>
      <c r="G63" s="174"/>
      <c r="H63" s="175"/>
      <c r="I63" s="89">
        <f t="shared" si="17"/>
        <v>0</v>
      </c>
      <c r="J63" s="90">
        <f t="shared" si="18"/>
        <v>0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1.25" customHeight="1">
      <c r="A64" s="214">
        <v>42041.0</v>
      </c>
      <c r="B64" s="165" t="s">
        <v>244</v>
      </c>
      <c r="C64" s="166" t="s">
        <v>30</v>
      </c>
      <c r="D64" s="99">
        <v>4.0</v>
      </c>
      <c r="E64" s="100">
        <v>225000.0</v>
      </c>
      <c r="F64" s="84">
        <f t="shared" si="16"/>
        <v>900000</v>
      </c>
      <c r="G64" s="174"/>
      <c r="H64" s="175"/>
      <c r="I64" s="89">
        <f t="shared" si="17"/>
        <v>0</v>
      </c>
      <c r="J64" s="90">
        <f t="shared" si="18"/>
        <v>0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1.25" customHeight="1">
      <c r="A65" s="214">
        <v>42406.0</v>
      </c>
      <c r="B65" s="165" t="s">
        <v>246</v>
      </c>
      <c r="C65" s="166" t="s">
        <v>30</v>
      </c>
      <c r="D65" s="99">
        <v>24.0</v>
      </c>
      <c r="E65" s="100">
        <v>235000.0</v>
      </c>
      <c r="F65" s="84">
        <f t="shared" si="16"/>
        <v>5640000</v>
      </c>
      <c r="G65" s="85">
        <v>24.0</v>
      </c>
      <c r="H65" s="87" t="s">
        <v>42</v>
      </c>
      <c r="I65" s="89">
        <f t="shared" si="17"/>
        <v>1</v>
      </c>
      <c r="J65" s="90">
        <f t="shared" si="18"/>
        <v>5640000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1.25" customHeight="1">
      <c r="A66" s="214">
        <v>42772.0</v>
      </c>
      <c r="B66" s="165" t="s">
        <v>247</v>
      </c>
      <c r="C66" s="166" t="s">
        <v>30</v>
      </c>
      <c r="D66" s="99">
        <v>15.0</v>
      </c>
      <c r="E66" s="100">
        <v>524000.0</v>
      </c>
      <c r="F66" s="84">
        <f t="shared" si="16"/>
        <v>7860000</v>
      </c>
      <c r="G66" s="85">
        <v>15.0</v>
      </c>
      <c r="H66" s="87" t="s">
        <v>42</v>
      </c>
      <c r="I66" s="89">
        <f t="shared" si="17"/>
        <v>1</v>
      </c>
      <c r="J66" s="90">
        <f t="shared" si="18"/>
        <v>7860000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1.25" customHeight="1">
      <c r="A67" s="214">
        <v>43137.0</v>
      </c>
      <c r="B67" s="165" t="s">
        <v>248</v>
      </c>
      <c r="C67" s="166" t="s">
        <v>30</v>
      </c>
      <c r="D67" s="99">
        <v>2.0</v>
      </c>
      <c r="E67" s="100">
        <v>1785000.0</v>
      </c>
      <c r="F67" s="84">
        <f t="shared" si="16"/>
        <v>3570000</v>
      </c>
      <c r="G67" s="174"/>
      <c r="H67" s="175"/>
      <c r="I67" s="89">
        <f t="shared" si="17"/>
        <v>0</v>
      </c>
      <c r="J67" s="90">
        <f t="shared" si="18"/>
        <v>0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1.25" customHeight="1">
      <c r="A68" s="214">
        <v>43502.0</v>
      </c>
      <c r="B68" s="165" t="s">
        <v>250</v>
      </c>
      <c r="C68" s="166" t="s">
        <v>30</v>
      </c>
      <c r="D68" s="99">
        <v>1.0</v>
      </c>
      <c r="E68" s="100">
        <v>145500.0</v>
      </c>
      <c r="F68" s="84">
        <f t="shared" si="16"/>
        <v>145500</v>
      </c>
      <c r="G68" s="174"/>
      <c r="H68" s="175"/>
      <c r="I68" s="89">
        <f t="shared" si="17"/>
        <v>0</v>
      </c>
      <c r="J68" s="90">
        <f t="shared" si="18"/>
        <v>0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1.25" customHeight="1">
      <c r="A69" s="214">
        <v>43867.0</v>
      </c>
      <c r="B69" s="165" t="s">
        <v>251</v>
      </c>
      <c r="C69" s="166" t="s">
        <v>30</v>
      </c>
      <c r="D69" s="99">
        <v>6.0</v>
      </c>
      <c r="E69" s="100">
        <v>240000.0</v>
      </c>
      <c r="F69" s="84">
        <f t="shared" si="16"/>
        <v>1440000</v>
      </c>
      <c r="G69" s="174"/>
      <c r="H69" s="175"/>
      <c r="I69" s="89">
        <f t="shared" si="17"/>
        <v>0</v>
      </c>
      <c r="J69" s="90">
        <f t="shared" si="18"/>
        <v>0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1.25" customHeight="1">
      <c r="A70" s="214">
        <v>44233.0</v>
      </c>
      <c r="B70" s="165" t="s">
        <v>252</v>
      </c>
      <c r="C70" s="166" t="s">
        <v>30</v>
      </c>
      <c r="D70" s="99">
        <v>1.0</v>
      </c>
      <c r="E70" s="100">
        <v>165000.0</v>
      </c>
      <c r="F70" s="84">
        <f t="shared" si="16"/>
        <v>165000</v>
      </c>
      <c r="G70" s="174"/>
      <c r="H70" s="175"/>
      <c r="I70" s="89">
        <f t="shared" si="17"/>
        <v>0</v>
      </c>
      <c r="J70" s="90">
        <f t="shared" si="18"/>
        <v>0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1.25" customHeight="1">
      <c r="A71" s="214">
        <v>44598.0</v>
      </c>
      <c r="B71" s="165" t="s">
        <v>253</v>
      </c>
      <c r="C71" s="166" t="s">
        <v>30</v>
      </c>
      <c r="D71" s="99">
        <v>1.0</v>
      </c>
      <c r="E71" s="100">
        <v>325500.0</v>
      </c>
      <c r="F71" s="84">
        <f t="shared" si="16"/>
        <v>325500</v>
      </c>
      <c r="G71" s="174"/>
      <c r="H71" s="175"/>
      <c r="I71" s="89">
        <f t="shared" si="17"/>
        <v>0</v>
      </c>
      <c r="J71" s="90">
        <f t="shared" si="18"/>
        <v>0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1.25" customHeight="1">
      <c r="A72" s="214">
        <v>44963.0</v>
      </c>
      <c r="B72" s="165" t="s">
        <v>255</v>
      </c>
      <c r="C72" s="166" t="s">
        <v>5</v>
      </c>
      <c r="D72" s="99">
        <v>25.0</v>
      </c>
      <c r="E72" s="100">
        <f>+P.U!F2187</f>
        <v>42536</v>
      </c>
      <c r="F72" s="84">
        <f t="shared" si="16"/>
        <v>1063400</v>
      </c>
      <c r="G72" s="174"/>
      <c r="H72" s="175"/>
      <c r="I72" s="89">
        <f t="shared" si="17"/>
        <v>0</v>
      </c>
      <c r="J72" s="90">
        <f t="shared" si="18"/>
        <v>0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1.25" customHeight="1">
      <c r="A73" s="214">
        <v>45328.0</v>
      </c>
      <c r="B73" s="165" t="s">
        <v>257</v>
      </c>
      <c r="C73" s="166" t="s">
        <v>5</v>
      </c>
      <c r="D73" s="99">
        <v>301.67</v>
      </c>
      <c r="E73" s="100">
        <f>+P.U!F2231</f>
        <v>45950</v>
      </c>
      <c r="F73" s="84">
        <f t="shared" si="16"/>
        <v>13861737</v>
      </c>
      <c r="G73" s="85">
        <v>64.0</v>
      </c>
      <c r="H73" s="175"/>
      <c r="I73" s="89">
        <f t="shared" si="17"/>
        <v>0.2121523519</v>
      </c>
      <c r="J73" s="90">
        <f t="shared" si="18"/>
        <v>2940800.106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1.25" customHeight="1">
      <c r="A74" s="194" t="s">
        <v>259</v>
      </c>
      <c r="B74" s="195" t="s">
        <v>260</v>
      </c>
      <c r="C74" s="197"/>
      <c r="D74" s="197"/>
      <c r="E74" s="198"/>
      <c r="F74" s="197"/>
      <c r="G74" s="154"/>
      <c r="H74" s="155"/>
      <c r="I74" s="155"/>
      <c r="J74" s="199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1.25" customHeight="1">
      <c r="A75" s="163" t="s">
        <v>262</v>
      </c>
      <c r="B75" s="165" t="s">
        <v>263</v>
      </c>
      <c r="C75" s="166" t="s">
        <v>30</v>
      </c>
      <c r="D75" s="99">
        <v>67.0</v>
      </c>
      <c r="E75" s="100">
        <f>+P.U!F2275</f>
        <v>24325</v>
      </c>
      <c r="F75" s="84">
        <f t="shared" ref="F75:F83" si="19">ROUND(D75*E75,0)</f>
        <v>1629775</v>
      </c>
      <c r="G75" s="85">
        <v>9.0</v>
      </c>
      <c r="H75" s="87" t="s">
        <v>42</v>
      </c>
      <c r="I75" s="89">
        <f t="shared" ref="I75:I83" si="20">G75*100%/D75</f>
        <v>0.1343283582</v>
      </c>
      <c r="J75" s="90">
        <f t="shared" ref="J75:J87" si="21">I75*F75</f>
        <v>218925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1.25" customHeight="1">
      <c r="A76" s="163" t="s">
        <v>264</v>
      </c>
      <c r="B76" s="165" t="s">
        <v>219</v>
      </c>
      <c r="C76" s="166" t="s">
        <v>142</v>
      </c>
      <c r="D76" s="99">
        <v>271.05</v>
      </c>
      <c r="E76" s="100">
        <f>+P.U!F2319</f>
        <v>13093</v>
      </c>
      <c r="F76" s="84">
        <f t="shared" si="19"/>
        <v>3548858</v>
      </c>
      <c r="G76" s="174">
        <f>((1.3+1.3+3+3)*9)</f>
        <v>77.4</v>
      </c>
      <c r="H76" s="175"/>
      <c r="I76" s="89">
        <f t="shared" si="20"/>
        <v>0.2855561704</v>
      </c>
      <c r="J76" s="90">
        <f t="shared" si="21"/>
        <v>1013398.3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1.25" customHeight="1">
      <c r="A77" s="163" t="s">
        <v>265</v>
      </c>
      <c r="B77" s="165" t="s">
        <v>266</v>
      </c>
      <c r="C77" s="166" t="s">
        <v>30</v>
      </c>
      <c r="D77" s="99">
        <v>7.0</v>
      </c>
      <c r="E77" s="100">
        <f>+P.U!F2363</f>
        <v>134775</v>
      </c>
      <c r="F77" s="84">
        <f t="shared" si="19"/>
        <v>943425</v>
      </c>
      <c r="G77" s="174"/>
      <c r="H77" s="175"/>
      <c r="I77" s="89">
        <f t="shared" si="20"/>
        <v>0</v>
      </c>
      <c r="J77" s="90">
        <f t="shared" si="21"/>
        <v>0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1.25" customHeight="1">
      <c r="A78" s="163" t="s">
        <v>267</v>
      </c>
      <c r="B78" s="165" t="s">
        <v>268</v>
      </c>
      <c r="C78" s="166" t="s">
        <v>30</v>
      </c>
      <c r="D78" s="99">
        <v>10.0</v>
      </c>
      <c r="E78" s="100">
        <f>+P.U!F2409</f>
        <v>139775</v>
      </c>
      <c r="F78" s="84">
        <f t="shared" si="19"/>
        <v>1397750</v>
      </c>
      <c r="G78" s="174"/>
      <c r="H78" s="175"/>
      <c r="I78" s="89">
        <f t="shared" si="20"/>
        <v>0</v>
      </c>
      <c r="J78" s="90">
        <f t="shared" si="21"/>
        <v>0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1.25" customHeight="1">
      <c r="A79" s="163" t="s">
        <v>269</v>
      </c>
      <c r="B79" s="165" t="s">
        <v>270</v>
      </c>
      <c r="C79" s="166" t="s">
        <v>30</v>
      </c>
      <c r="D79" s="99">
        <v>8.0</v>
      </c>
      <c r="E79" s="100">
        <f>+P.U!F2453</f>
        <v>157875</v>
      </c>
      <c r="F79" s="84">
        <f t="shared" si="19"/>
        <v>1263000</v>
      </c>
      <c r="G79" s="174"/>
      <c r="H79" s="175"/>
      <c r="I79" s="89">
        <f t="shared" si="20"/>
        <v>0</v>
      </c>
      <c r="J79" s="90">
        <f t="shared" si="21"/>
        <v>0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1.25" customHeight="1">
      <c r="A80" s="163" t="s">
        <v>271</v>
      </c>
      <c r="B80" s="165" t="s">
        <v>272</v>
      </c>
      <c r="C80" s="166" t="s">
        <v>30</v>
      </c>
      <c r="D80" s="99">
        <v>21.0</v>
      </c>
      <c r="E80" s="100">
        <f>+P.U!F2497</f>
        <v>584950</v>
      </c>
      <c r="F80" s="84">
        <f t="shared" si="19"/>
        <v>12283950</v>
      </c>
      <c r="G80" s="85">
        <v>9.0</v>
      </c>
      <c r="H80" s="175"/>
      <c r="I80" s="89">
        <f t="shared" si="20"/>
        <v>0.4285714286</v>
      </c>
      <c r="J80" s="90">
        <f t="shared" si="21"/>
        <v>5264550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1.25" customHeight="1">
      <c r="A81" s="163" t="s">
        <v>273</v>
      </c>
      <c r="B81" s="165" t="s">
        <v>274</v>
      </c>
      <c r="C81" s="166" t="s">
        <v>30</v>
      </c>
      <c r="D81" s="99">
        <v>13.0</v>
      </c>
      <c r="E81" s="100">
        <f>+P.U!F2541</f>
        <v>381575</v>
      </c>
      <c r="F81" s="84">
        <f t="shared" si="19"/>
        <v>4960475</v>
      </c>
      <c r="G81" s="174"/>
      <c r="H81" s="175"/>
      <c r="I81" s="89">
        <f t="shared" si="20"/>
        <v>0</v>
      </c>
      <c r="J81" s="90">
        <f t="shared" si="21"/>
        <v>0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1.25" customHeight="1">
      <c r="A82" s="163" t="s">
        <v>275</v>
      </c>
      <c r="B82" s="165" t="s">
        <v>276</v>
      </c>
      <c r="C82" s="166" t="s">
        <v>30</v>
      </c>
      <c r="D82" s="99">
        <v>4.0</v>
      </c>
      <c r="E82" s="100">
        <f>+P.U!F2585</f>
        <v>165875</v>
      </c>
      <c r="F82" s="84">
        <f t="shared" si="19"/>
        <v>663500</v>
      </c>
      <c r="G82" s="174"/>
      <c r="H82" s="175"/>
      <c r="I82" s="89">
        <f t="shared" si="20"/>
        <v>0</v>
      </c>
      <c r="J82" s="90">
        <f t="shared" si="21"/>
        <v>0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1.25" customHeight="1">
      <c r="A83" s="163" t="s">
        <v>277</v>
      </c>
      <c r="B83" s="165" t="s">
        <v>278</v>
      </c>
      <c r="C83" s="166" t="s">
        <v>30</v>
      </c>
      <c r="D83" s="99">
        <v>4.0</v>
      </c>
      <c r="E83" s="100">
        <f>+P.U!F2629</f>
        <v>157875</v>
      </c>
      <c r="F83" s="84">
        <f t="shared" si="19"/>
        <v>631500</v>
      </c>
      <c r="G83" s="174"/>
      <c r="H83" s="175"/>
      <c r="I83" s="89">
        <f t="shared" si="20"/>
        <v>0</v>
      </c>
      <c r="J83" s="90">
        <f t="shared" si="21"/>
        <v>0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1.25" customHeight="1">
      <c r="A84" s="224">
        <v>40216.0</v>
      </c>
      <c r="B84" s="95" t="s">
        <v>279</v>
      </c>
      <c r="C84" s="225"/>
      <c r="D84" s="226"/>
      <c r="E84" s="227"/>
      <c r="F84" s="84"/>
      <c r="G84" s="174"/>
      <c r="H84" s="175"/>
      <c r="I84" s="89"/>
      <c r="J84" s="90">
        <f t="shared" si="21"/>
        <v>0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1.25" customHeight="1">
      <c r="A85" s="163" t="s">
        <v>281</v>
      </c>
      <c r="B85" s="165" t="s">
        <v>282</v>
      </c>
      <c r="C85" s="166" t="s">
        <v>30</v>
      </c>
      <c r="D85" s="99">
        <v>67.0</v>
      </c>
      <c r="E85" s="100">
        <f>+P.U!F2671</f>
        <v>26941</v>
      </c>
      <c r="F85" s="84">
        <f t="shared" ref="F85:F87" si="22">ROUND(D85*E85,0)</f>
        <v>1805047</v>
      </c>
      <c r="G85" s="85">
        <v>9.0</v>
      </c>
      <c r="H85" s="175"/>
      <c r="I85" s="89">
        <f t="shared" ref="I85:I87" si="23">G85*100%/D85</f>
        <v>0.1343283582</v>
      </c>
      <c r="J85" s="90">
        <f t="shared" si="21"/>
        <v>242469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1.25" customHeight="1">
      <c r="A86" s="163" t="s">
        <v>284</v>
      </c>
      <c r="B86" s="165" t="s">
        <v>285</v>
      </c>
      <c r="C86" s="166" t="s">
        <v>30</v>
      </c>
      <c r="D86" s="99">
        <v>67.0</v>
      </c>
      <c r="E86" s="100">
        <f>+P.U!F2715</f>
        <v>46983</v>
      </c>
      <c r="F86" s="84">
        <f t="shared" si="22"/>
        <v>3147861</v>
      </c>
      <c r="G86" s="85">
        <v>9.0</v>
      </c>
      <c r="H86" s="175"/>
      <c r="I86" s="89">
        <f t="shared" si="23"/>
        <v>0.1343283582</v>
      </c>
      <c r="J86" s="90">
        <f t="shared" si="21"/>
        <v>422847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1.25" customHeight="1">
      <c r="A87" s="163" t="s">
        <v>286</v>
      </c>
      <c r="B87" s="165" t="s">
        <v>287</v>
      </c>
      <c r="C87" s="166" t="s">
        <v>30</v>
      </c>
      <c r="D87" s="99">
        <v>67.0</v>
      </c>
      <c r="E87" s="100">
        <f>+P.U!F2759</f>
        <v>15857</v>
      </c>
      <c r="F87" s="84">
        <f t="shared" si="22"/>
        <v>1062419</v>
      </c>
      <c r="G87" s="85">
        <v>9.0</v>
      </c>
      <c r="H87" s="175"/>
      <c r="I87" s="89">
        <f t="shared" si="23"/>
        <v>0.1343283582</v>
      </c>
      <c r="J87" s="90">
        <f t="shared" si="21"/>
        <v>142713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1.25" customHeight="1">
      <c r="A88" s="194" t="s">
        <v>288</v>
      </c>
      <c r="B88" s="195" t="s">
        <v>289</v>
      </c>
      <c r="C88" s="197"/>
      <c r="D88" s="197"/>
      <c r="E88" s="198"/>
      <c r="F88" s="197"/>
      <c r="G88" s="154"/>
      <c r="H88" s="155"/>
      <c r="I88" s="155"/>
      <c r="J88" s="199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1.25" customHeight="1">
      <c r="A89" s="163" t="s">
        <v>290</v>
      </c>
      <c r="B89" s="165" t="s">
        <v>291</v>
      </c>
      <c r="C89" s="166" t="s">
        <v>30</v>
      </c>
      <c r="D89" s="99">
        <v>1.0</v>
      </c>
      <c r="E89" s="100">
        <f>+P.U!F2803</f>
        <v>111725</v>
      </c>
      <c r="F89" s="84">
        <f t="shared" ref="F89:F112" si="24">ROUND(D89*E89,0)</f>
        <v>111725</v>
      </c>
      <c r="G89" s="174"/>
      <c r="H89" s="175"/>
      <c r="I89" s="89">
        <f t="shared" ref="I89:I112" si="25">G89*100%/D89</f>
        <v>0</v>
      </c>
      <c r="J89" s="90">
        <f t="shared" ref="J89:J112" si="26">I89*F89</f>
        <v>0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1.25" customHeight="1">
      <c r="A90" s="163" t="s">
        <v>292</v>
      </c>
      <c r="B90" s="165" t="s">
        <v>293</v>
      </c>
      <c r="C90" s="166" t="s">
        <v>30</v>
      </c>
      <c r="D90" s="99">
        <v>1.0</v>
      </c>
      <c r="E90" s="100">
        <f>+P.U!F2847</f>
        <v>41725</v>
      </c>
      <c r="F90" s="84">
        <f t="shared" si="24"/>
        <v>41725</v>
      </c>
      <c r="G90" s="174"/>
      <c r="H90" s="175"/>
      <c r="I90" s="89">
        <f t="shared" si="25"/>
        <v>0</v>
      </c>
      <c r="J90" s="90">
        <f t="shared" si="26"/>
        <v>0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1.25" customHeight="1">
      <c r="A91" s="163" t="s">
        <v>294</v>
      </c>
      <c r="B91" s="165" t="s">
        <v>295</v>
      </c>
      <c r="C91" s="166" t="s">
        <v>30</v>
      </c>
      <c r="D91" s="99">
        <v>16.0</v>
      </c>
      <c r="E91" s="100">
        <f>+P.U!F2891</f>
        <v>25375</v>
      </c>
      <c r="F91" s="84">
        <f t="shared" si="24"/>
        <v>406000</v>
      </c>
      <c r="G91" s="174"/>
      <c r="H91" s="175"/>
      <c r="I91" s="89">
        <f t="shared" si="25"/>
        <v>0</v>
      </c>
      <c r="J91" s="90">
        <f t="shared" si="26"/>
        <v>0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1.25" customHeight="1">
      <c r="A92" s="163" t="s">
        <v>296</v>
      </c>
      <c r="B92" s="165" t="s">
        <v>297</v>
      </c>
      <c r="C92" s="166" t="s">
        <v>30</v>
      </c>
      <c r="D92" s="99">
        <v>12.0</v>
      </c>
      <c r="E92" s="100">
        <f>+P.U!F2935</f>
        <v>34375</v>
      </c>
      <c r="F92" s="84">
        <f t="shared" si="24"/>
        <v>412500</v>
      </c>
      <c r="G92" s="174"/>
      <c r="H92" s="175"/>
      <c r="I92" s="89">
        <f t="shared" si="25"/>
        <v>0</v>
      </c>
      <c r="J92" s="90">
        <f t="shared" si="26"/>
        <v>0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1.25" customHeight="1">
      <c r="A93" s="163" t="s">
        <v>300</v>
      </c>
      <c r="B93" s="165" t="s">
        <v>301</v>
      </c>
      <c r="C93" s="166" t="s">
        <v>64</v>
      </c>
      <c r="D93" s="99">
        <v>13.0</v>
      </c>
      <c r="E93" s="100">
        <f>+P.U!F2979</f>
        <v>268000</v>
      </c>
      <c r="F93" s="84">
        <f t="shared" si="24"/>
        <v>3484000</v>
      </c>
      <c r="G93" s="174"/>
      <c r="H93" s="175"/>
      <c r="I93" s="89">
        <f t="shared" si="25"/>
        <v>0</v>
      </c>
      <c r="J93" s="90">
        <f t="shared" si="26"/>
        <v>0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1.25" customHeight="1">
      <c r="A94" s="163" t="s">
        <v>302</v>
      </c>
      <c r="B94" s="165" t="s">
        <v>303</v>
      </c>
      <c r="C94" s="166" t="s">
        <v>30</v>
      </c>
      <c r="D94" s="99">
        <v>11.0</v>
      </c>
      <c r="E94" s="100">
        <f>+P.U!F3023</f>
        <v>35200</v>
      </c>
      <c r="F94" s="84">
        <f t="shared" si="24"/>
        <v>387200</v>
      </c>
      <c r="G94" s="174"/>
      <c r="H94" s="175"/>
      <c r="I94" s="89">
        <f t="shared" si="25"/>
        <v>0</v>
      </c>
      <c r="J94" s="90">
        <f t="shared" si="26"/>
        <v>0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1.25" customHeight="1">
      <c r="A95" s="163" t="s">
        <v>304</v>
      </c>
      <c r="B95" s="165" t="s">
        <v>305</v>
      </c>
      <c r="C95" s="166" t="s">
        <v>30</v>
      </c>
      <c r="D95" s="99">
        <v>13.0</v>
      </c>
      <c r="E95" s="100">
        <f>+P.U!F3067</f>
        <v>45200</v>
      </c>
      <c r="F95" s="84">
        <f t="shared" si="24"/>
        <v>587600</v>
      </c>
      <c r="G95" s="174"/>
      <c r="H95" s="175"/>
      <c r="I95" s="89">
        <f t="shared" si="25"/>
        <v>0</v>
      </c>
      <c r="J95" s="90">
        <f t="shared" si="26"/>
        <v>0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1.25" customHeight="1">
      <c r="A96" s="163" t="s">
        <v>306</v>
      </c>
      <c r="B96" s="165" t="s">
        <v>307</v>
      </c>
      <c r="C96" s="166" t="s">
        <v>30</v>
      </c>
      <c r="D96" s="99">
        <v>8.0</v>
      </c>
      <c r="E96" s="100">
        <f>+P.U!F3111</f>
        <v>92250</v>
      </c>
      <c r="F96" s="84">
        <f t="shared" si="24"/>
        <v>738000</v>
      </c>
      <c r="G96" s="174"/>
      <c r="H96" s="175"/>
      <c r="I96" s="89">
        <f t="shared" si="25"/>
        <v>0</v>
      </c>
      <c r="J96" s="90">
        <f t="shared" si="26"/>
        <v>0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1.25" customHeight="1">
      <c r="A97" s="163" t="s">
        <v>308</v>
      </c>
      <c r="B97" s="165" t="s">
        <v>309</v>
      </c>
      <c r="C97" s="166" t="s">
        <v>30</v>
      </c>
      <c r="D97" s="99">
        <v>7.0</v>
      </c>
      <c r="E97" s="100">
        <f>+P.U!F3155</f>
        <v>95250</v>
      </c>
      <c r="F97" s="84">
        <f t="shared" si="24"/>
        <v>666750</v>
      </c>
      <c r="G97" s="174"/>
      <c r="H97" s="175"/>
      <c r="I97" s="89">
        <f t="shared" si="25"/>
        <v>0</v>
      </c>
      <c r="J97" s="90">
        <f t="shared" si="26"/>
        <v>0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1.25" customHeight="1">
      <c r="A98" s="214">
        <v>40217.0</v>
      </c>
      <c r="B98" s="165" t="s">
        <v>310</v>
      </c>
      <c r="C98" s="166" t="s">
        <v>30</v>
      </c>
      <c r="D98" s="99">
        <v>18.0</v>
      </c>
      <c r="E98" s="100">
        <f>+P.U!F3199</f>
        <v>27375</v>
      </c>
      <c r="F98" s="84">
        <f t="shared" si="24"/>
        <v>492750</v>
      </c>
      <c r="G98" s="174"/>
      <c r="H98" s="175"/>
      <c r="I98" s="89">
        <f t="shared" si="25"/>
        <v>0</v>
      </c>
      <c r="J98" s="90">
        <f t="shared" si="26"/>
        <v>0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1.25" customHeight="1">
      <c r="A99" s="214">
        <v>40582.0</v>
      </c>
      <c r="B99" s="165" t="s">
        <v>312</v>
      </c>
      <c r="C99" s="166" t="s">
        <v>30</v>
      </c>
      <c r="D99" s="99">
        <v>1.0</v>
      </c>
      <c r="E99" s="100">
        <f>+P.U!F3243</f>
        <v>194000</v>
      </c>
      <c r="F99" s="84">
        <f t="shared" si="24"/>
        <v>194000</v>
      </c>
      <c r="G99" s="174"/>
      <c r="H99" s="175"/>
      <c r="I99" s="89">
        <f t="shared" si="25"/>
        <v>0</v>
      </c>
      <c r="J99" s="90">
        <f t="shared" si="26"/>
        <v>0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1.25" customHeight="1">
      <c r="A100" s="214">
        <v>40947.0</v>
      </c>
      <c r="B100" s="165" t="s">
        <v>314</v>
      </c>
      <c r="C100" s="166" t="s">
        <v>30</v>
      </c>
      <c r="D100" s="99">
        <v>17.0</v>
      </c>
      <c r="E100" s="100">
        <f>+P.U!F3287</f>
        <v>164000</v>
      </c>
      <c r="F100" s="84">
        <f t="shared" si="24"/>
        <v>2788000</v>
      </c>
      <c r="G100" s="174"/>
      <c r="H100" s="175"/>
      <c r="I100" s="89">
        <f t="shared" si="25"/>
        <v>0</v>
      </c>
      <c r="J100" s="90">
        <f t="shared" si="26"/>
        <v>0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1.25" customHeight="1">
      <c r="A101" s="214">
        <v>41313.0</v>
      </c>
      <c r="B101" s="165" t="s">
        <v>317</v>
      </c>
      <c r="C101" s="166" t="s">
        <v>30</v>
      </c>
      <c r="D101" s="99">
        <v>2.0</v>
      </c>
      <c r="E101" s="100">
        <f>+P.U!F3331</f>
        <v>141725</v>
      </c>
      <c r="F101" s="84">
        <f t="shared" si="24"/>
        <v>283450</v>
      </c>
      <c r="G101" s="174"/>
      <c r="H101" s="175"/>
      <c r="I101" s="89">
        <f t="shared" si="25"/>
        <v>0</v>
      </c>
      <c r="J101" s="90">
        <f t="shared" si="26"/>
        <v>0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1.25" customHeight="1">
      <c r="A102" s="214">
        <v>41678.0</v>
      </c>
      <c r="B102" s="165" t="s">
        <v>319</v>
      </c>
      <c r="C102" s="166" t="s">
        <v>30</v>
      </c>
      <c r="D102" s="99">
        <v>2.0</v>
      </c>
      <c r="E102" s="100">
        <f>+P.U!F3375</f>
        <v>79200</v>
      </c>
      <c r="F102" s="84">
        <f t="shared" si="24"/>
        <v>158400</v>
      </c>
      <c r="G102" s="174"/>
      <c r="H102" s="175"/>
      <c r="I102" s="89">
        <f t="shared" si="25"/>
        <v>0</v>
      </c>
      <c r="J102" s="90">
        <f t="shared" si="26"/>
        <v>0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1.25" customHeight="1">
      <c r="A103" s="214">
        <v>42043.0</v>
      </c>
      <c r="B103" s="165" t="s">
        <v>320</v>
      </c>
      <c r="C103" s="166" t="s">
        <v>30</v>
      </c>
      <c r="D103" s="99">
        <v>68.0</v>
      </c>
      <c r="E103" s="100">
        <f>+P.U!F3419</f>
        <v>16200</v>
      </c>
      <c r="F103" s="84">
        <f t="shared" si="24"/>
        <v>1101600</v>
      </c>
      <c r="G103" s="174"/>
      <c r="H103" s="175"/>
      <c r="I103" s="89">
        <f t="shared" si="25"/>
        <v>0</v>
      </c>
      <c r="J103" s="90">
        <f t="shared" si="26"/>
        <v>0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1.25" customHeight="1">
      <c r="A104" s="214">
        <v>42408.0</v>
      </c>
      <c r="B104" s="165" t="s">
        <v>322</v>
      </c>
      <c r="C104" s="166" t="s">
        <v>30</v>
      </c>
      <c r="D104" s="99">
        <v>5.0</v>
      </c>
      <c r="E104" s="100">
        <f>+P.U!F3463</f>
        <v>184000</v>
      </c>
      <c r="F104" s="84">
        <f t="shared" si="24"/>
        <v>920000</v>
      </c>
      <c r="G104" s="174"/>
      <c r="H104" s="175"/>
      <c r="I104" s="89">
        <f t="shared" si="25"/>
        <v>0</v>
      </c>
      <c r="J104" s="90">
        <f t="shared" si="26"/>
        <v>0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1.25" customHeight="1">
      <c r="A105" s="214">
        <v>42774.0</v>
      </c>
      <c r="B105" s="165" t="s">
        <v>323</v>
      </c>
      <c r="C105" s="166" t="s">
        <v>30</v>
      </c>
      <c r="D105" s="99">
        <v>2.0</v>
      </c>
      <c r="E105" s="100">
        <f>+P.U!F3507</f>
        <v>124000</v>
      </c>
      <c r="F105" s="84">
        <f t="shared" si="24"/>
        <v>248000</v>
      </c>
      <c r="G105" s="174"/>
      <c r="H105" s="175"/>
      <c r="I105" s="89">
        <f t="shared" si="25"/>
        <v>0</v>
      </c>
      <c r="J105" s="90">
        <f t="shared" si="26"/>
        <v>0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1.25" customHeight="1">
      <c r="A106" s="214">
        <v>43139.0</v>
      </c>
      <c r="B106" s="165" t="s">
        <v>324</v>
      </c>
      <c r="C106" s="166" t="s">
        <v>30</v>
      </c>
      <c r="D106" s="99">
        <v>1.0</v>
      </c>
      <c r="E106" s="100">
        <f>+P.U!F3551</f>
        <v>297475</v>
      </c>
      <c r="F106" s="84">
        <f t="shared" si="24"/>
        <v>297475</v>
      </c>
      <c r="G106" s="174"/>
      <c r="H106" s="175"/>
      <c r="I106" s="89">
        <f t="shared" si="25"/>
        <v>0</v>
      </c>
      <c r="J106" s="90">
        <f t="shared" si="26"/>
        <v>0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1.25" customHeight="1">
      <c r="A107" s="214">
        <v>43504.0</v>
      </c>
      <c r="B107" s="165" t="s">
        <v>325</v>
      </c>
      <c r="C107" s="166" t="s">
        <v>142</v>
      </c>
      <c r="D107" s="99">
        <v>1.8</v>
      </c>
      <c r="E107" s="100">
        <f>+P.U!F3595</f>
        <v>148475</v>
      </c>
      <c r="F107" s="84">
        <f t="shared" si="24"/>
        <v>267255</v>
      </c>
      <c r="G107" s="174"/>
      <c r="H107" s="175"/>
      <c r="I107" s="89">
        <f t="shared" si="25"/>
        <v>0</v>
      </c>
      <c r="J107" s="90">
        <f t="shared" si="26"/>
        <v>0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1.25" customHeight="1">
      <c r="A108" s="214">
        <v>43869.0</v>
      </c>
      <c r="B108" s="165" t="s">
        <v>326</v>
      </c>
      <c r="C108" s="166" t="s">
        <v>30</v>
      </c>
      <c r="D108" s="99">
        <v>5.0</v>
      </c>
      <c r="E108" s="100">
        <f>+P.U!F3639</f>
        <v>167475</v>
      </c>
      <c r="F108" s="84">
        <f t="shared" si="24"/>
        <v>837375</v>
      </c>
      <c r="G108" s="174"/>
      <c r="H108" s="175"/>
      <c r="I108" s="89">
        <f t="shared" si="25"/>
        <v>0</v>
      </c>
      <c r="J108" s="90">
        <f t="shared" si="26"/>
        <v>0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1.25" customHeight="1">
      <c r="A109" s="214">
        <v>44235.0</v>
      </c>
      <c r="B109" s="165" t="s">
        <v>327</v>
      </c>
      <c r="C109" s="166" t="s">
        <v>142</v>
      </c>
      <c r="D109" s="99">
        <v>7.95</v>
      </c>
      <c r="E109" s="100">
        <f>+P.U!F3683</f>
        <v>178475</v>
      </c>
      <c r="F109" s="84">
        <f t="shared" si="24"/>
        <v>1418876</v>
      </c>
      <c r="G109" s="174"/>
      <c r="H109" s="175"/>
      <c r="I109" s="89">
        <f t="shared" si="25"/>
        <v>0</v>
      </c>
      <c r="J109" s="90">
        <f t="shared" si="26"/>
        <v>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1.25" customHeight="1">
      <c r="A110" s="214">
        <v>44600.0</v>
      </c>
      <c r="B110" s="165" t="s">
        <v>328</v>
      </c>
      <c r="C110" s="166" t="s">
        <v>30</v>
      </c>
      <c r="D110" s="99">
        <v>10.0</v>
      </c>
      <c r="E110" s="100">
        <f>+P.U!F3727</f>
        <v>97475</v>
      </c>
      <c r="F110" s="84">
        <f t="shared" si="24"/>
        <v>974750</v>
      </c>
      <c r="G110" s="174"/>
      <c r="H110" s="175"/>
      <c r="I110" s="89">
        <f t="shared" si="25"/>
        <v>0</v>
      </c>
      <c r="J110" s="90">
        <f t="shared" si="26"/>
        <v>0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1.25" customHeight="1">
      <c r="A111" s="214">
        <v>44965.0</v>
      </c>
      <c r="B111" s="165" t="s">
        <v>329</v>
      </c>
      <c r="C111" s="166" t="s">
        <v>30</v>
      </c>
      <c r="D111" s="99">
        <v>10.0</v>
      </c>
      <c r="E111" s="100">
        <f>+P.U!F3771</f>
        <v>104000</v>
      </c>
      <c r="F111" s="84">
        <f t="shared" si="24"/>
        <v>1040000</v>
      </c>
      <c r="G111" s="174"/>
      <c r="H111" s="175"/>
      <c r="I111" s="89">
        <f t="shared" si="25"/>
        <v>0</v>
      </c>
      <c r="J111" s="90">
        <f t="shared" si="26"/>
        <v>0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1.25" customHeight="1">
      <c r="A112" s="214">
        <v>45330.0</v>
      </c>
      <c r="B112" s="165" t="s">
        <v>330</v>
      </c>
      <c r="C112" s="166" t="s">
        <v>5</v>
      </c>
      <c r="D112" s="99">
        <v>6.6</v>
      </c>
      <c r="E112" s="100">
        <f>+P.U!F3815</f>
        <v>66900</v>
      </c>
      <c r="F112" s="84">
        <f t="shared" si="24"/>
        <v>441540</v>
      </c>
      <c r="G112" s="174"/>
      <c r="H112" s="175"/>
      <c r="I112" s="89">
        <f t="shared" si="25"/>
        <v>0</v>
      </c>
      <c r="J112" s="90">
        <f t="shared" si="26"/>
        <v>0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1.25" customHeight="1">
      <c r="A113" s="194" t="s">
        <v>331</v>
      </c>
      <c r="B113" s="195" t="s">
        <v>332</v>
      </c>
      <c r="C113" s="197"/>
      <c r="D113" s="197"/>
      <c r="E113" s="198"/>
      <c r="F113" s="197"/>
      <c r="G113" s="154"/>
      <c r="H113" s="155"/>
      <c r="I113" s="155"/>
      <c r="J113" s="199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1.25" customHeight="1">
      <c r="A114" s="94" t="s">
        <v>334</v>
      </c>
      <c r="B114" s="95" t="s">
        <v>335</v>
      </c>
      <c r="C114" s="225"/>
      <c r="D114" s="225"/>
      <c r="E114" s="227"/>
      <c r="F114" s="225"/>
      <c r="G114" s="236"/>
      <c r="H114" s="175"/>
      <c r="I114" s="89"/>
      <c r="J114" s="90">
        <f t="shared" ref="J114:J117" si="27">I114*F114</f>
        <v>0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1.25" customHeight="1">
      <c r="A115" s="163" t="s">
        <v>338</v>
      </c>
      <c r="B115" s="165" t="s">
        <v>339</v>
      </c>
      <c r="C115" s="166" t="s">
        <v>64</v>
      </c>
      <c r="D115" s="99">
        <v>110.0</v>
      </c>
      <c r="E115" s="100">
        <f>+P.U!F3859</f>
        <v>69950</v>
      </c>
      <c r="F115" s="84">
        <f t="shared" ref="F115:F117" si="28">ROUND(D115*E115,0)</f>
        <v>7694500</v>
      </c>
      <c r="G115" s="85">
        <v>36.0</v>
      </c>
      <c r="H115" s="175"/>
      <c r="I115" s="89">
        <f t="shared" ref="I115:I117" si="29">G115*100%/D115</f>
        <v>0.3272727273</v>
      </c>
      <c r="J115" s="90">
        <f t="shared" si="27"/>
        <v>2518200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1.25" customHeight="1">
      <c r="A116" s="163" t="s">
        <v>341</v>
      </c>
      <c r="B116" s="165" t="s">
        <v>342</v>
      </c>
      <c r="C116" s="166" t="s">
        <v>64</v>
      </c>
      <c r="D116" s="99">
        <v>68.0</v>
      </c>
      <c r="E116" s="100">
        <f>+P.U!F3903</f>
        <v>42950</v>
      </c>
      <c r="F116" s="84">
        <f t="shared" si="28"/>
        <v>2920600</v>
      </c>
      <c r="G116" s="85">
        <v>20.0</v>
      </c>
      <c r="H116" s="175"/>
      <c r="I116" s="89">
        <f t="shared" si="29"/>
        <v>0.2941176471</v>
      </c>
      <c r="J116" s="90">
        <f t="shared" si="27"/>
        <v>859000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1.25" customHeight="1">
      <c r="A117" s="163" t="s">
        <v>343</v>
      </c>
      <c r="B117" s="165" t="s">
        <v>344</v>
      </c>
      <c r="C117" s="166" t="s">
        <v>64</v>
      </c>
      <c r="D117" s="99">
        <v>178.0</v>
      </c>
      <c r="E117" s="100">
        <f>+P.U!F3947</f>
        <v>5850</v>
      </c>
      <c r="F117" s="84">
        <f t="shared" si="28"/>
        <v>1041300</v>
      </c>
      <c r="G117" s="85">
        <v>56.0</v>
      </c>
      <c r="H117" s="175"/>
      <c r="I117" s="89">
        <f t="shared" si="29"/>
        <v>0.3146067416</v>
      </c>
      <c r="J117" s="90">
        <f t="shared" si="27"/>
        <v>327600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1.25" customHeight="1">
      <c r="A118" s="194" t="s">
        <v>346</v>
      </c>
      <c r="B118" s="195" t="s">
        <v>347</v>
      </c>
      <c r="C118" s="197"/>
      <c r="D118" s="197"/>
      <c r="E118" s="198"/>
      <c r="F118" s="197"/>
      <c r="G118" s="154"/>
      <c r="H118" s="155"/>
      <c r="I118" s="155"/>
      <c r="J118" s="199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1.25" customHeight="1">
      <c r="A119" s="163" t="s">
        <v>348</v>
      </c>
      <c r="B119" s="165" t="s">
        <v>349</v>
      </c>
      <c r="C119" s="166" t="s">
        <v>5</v>
      </c>
      <c r="D119" s="99">
        <v>96.26</v>
      </c>
      <c r="E119" s="100">
        <f>+P.U!F3991</f>
        <v>6274</v>
      </c>
      <c r="F119" s="84">
        <f t="shared" ref="F119:F124" si="30">ROUND(D119*E119,0)</f>
        <v>603935</v>
      </c>
      <c r="G119" s="174"/>
      <c r="H119" s="175"/>
      <c r="I119" s="89">
        <f t="shared" ref="I119:I124" si="31">G119*100%/D119</f>
        <v>0</v>
      </c>
      <c r="J119" s="90">
        <f t="shared" ref="J119:J124" si="32">I119*F119</f>
        <v>0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1.25" customHeight="1">
      <c r="A120" s="163" t="s">
        <v>350</v>
      </c>
      <c r="B120" s="165" t="s">
        <v>351</v>
      </c>
      <c r="C120" s="166" t="s">
        <v>5</v>
      </c>
      <c r="D120" s="99">
        <v>83.34</v>
      </c>
      <c r="E120" s="100">
        <f>+P.U!F4035</f>
        <v>48921</v>
      </c>
      <c r="F120" s="84">
        <f t="shared" si="30"/>
        <v>4077076</v>
      </c>
      <c r="G120" s="174"/>
      <c r="H120" s="175"/>
      <c r="I120" s="89">
        <f t="shared" si="31"/>
        <v>0</v>
      </c>
      <c r="J120" s="90">
        <f t="shared" si="32"/>
        <v>0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1.25" customHeight="1">
      <c r="A121" s="163" t="s">
        <v>353</v>
      </c>
      <c r="B121" s="165" t="s">
        <v>354</v>
      </c>
      <c r="C121" s="166" t="s">
        <v>5</v>
      </c>
      <c r="D121" s="99">
        <v>12.92</v>
      </c>
      <c r="E121" s="100">
        <f>+P.U!F4079</f>
        <v>48880</v>
      </c>
      <c r="F121" s="84">
        <f t="shared" si="30"/>
        <v>631530</v>
      </c>
      <c r="G121" s="174"/>
      <c r="H121" s="175"/>
      <c r="I121" s="89">
        <f t="shared" si="31"/>
        <v>0</v>
      </c>
      <c r="J121" s="90">
        <f t="shared" si="32"/>
        <v>0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1.25" customHeight="1">
      <c r="A122" s="163" t="s">
        <v>355</v>
      </c>
      <c r="B122" s="165" t="s">
        <v>356</v>
      </c>
      <c r="C122" s="166" t="s">
        <v>142</v>
      </c>
      <c r="D122" s="99">
        <v>37.96</v>
      </c>
      <c r="E122" s="100">
        <f>+P.U!F4123</f>
        <v>14582</v>
      </c>
      <c r="F122" s="84">
        <f t="shared" si="30"/>
        <v>553533</v>
      </c>
      <c r="G122" s="174"/>
      <c r="H122" s="175"/>
      <c r="I122" s="89">
        <f t="shared" si="31"/>
        <v>0</v>
      </c>
      <c r="J122" s="90">
        <f t="shared" si="32"/>
        <v>0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1.25" customHeight="1">
      <c r="A123" s="163" t="s">
        <v>357</v>
      </c>
      <c r="B123" s="165" t="s">
        <v>358</v>
      </c>
      <c r="C123" s="166" t="s">
        <v>142</v>
      </c>
      <c r="D123" s="99">
        <v>26.4</v>
      </c>
      <c r="E123" s="100">
        <f>+P.U!F4167</f>
        <v>180325</v>
      </c>
      <c r="F123" s="84">
        <f t="shared" si="30"/>
        <v>4760580</v>
      </c>
      <c r="G123" s="174"/>
      <c r="H123" s="175"/>
      <c r="I123" s="89">
        <f t="shared" si="31"/>
        <v>0</v>
      </c>
      <c r="J123" s="90">
        <f t="shared" si="32"/>
        <v>0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1.25" customHeight="1">
      <c r="A124" s="163" t="s">
        <v>359</v>
      </c>
      <c r="B124" s="165" t="s">
        <v>360</v>
      </c>
      <c r="C124" s="166" t="s">
        <v>142</v>
      </c>
      <c r="D124" s="99">
        <v>14.9</v>
      </c>
      <c r="E124" s="100">
        <f>+P.U!F4211</f>
        <v>79250</v>
      </c>
      <c r="F124" s="84">
        <f t="shared" si="30"/>
        <v>1180825</v>
      </c>
      <c r="G124" s="174"/>
      <c r="H124" s="175"/>
      <c r="I124" s="89">
        <f t="shared" si="31"/>
        <v>0</v>
      </c>
      <c r="J124" s="90">
        <f t="shared" si="32"/>
        <v>0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1.25" customHeight="1">
      <c r="A125" s="194" t="s">
        <v>361</v>
      </c>
      <c r="B125" s="195" t="s">
        <v>362</v>
      </c>
      <c r="C125" s="197"/>
      <c r="D125" s="197"/>
      <c r="E125" s="198"/>
      <c r="F125" s="197"/>
      <c r="G125" s="154"/>
      <c r="H125" s="155"/>
      <c r="I125" s="155"/>
      <c r="J125" s="199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1.25" customHeight="1">
      <c r="A126" s="163" t="s">
        <v>363</v>
      </c>
      <c r="B126" s="165" t="s">
        <v>364</v>
      </c>
      <c r="C126" s="166" t="s">
        <v>30</v>
      </c>
      <c r="D126" s="99">
        <v>4.0</v>
      </c>
      <c r="E126" s="100">
        <f>+P.U!F4255</f>
        <v>158600</v>
      </c>
      <c r="F126" s="84">
        <f t="shared" ref="F126:F141" si="33">ROUND(D126*E126,0)</f>
        <v>634400</v>
      </c>
      <c r="G126" s="174"/>
      <c r="H126" s="175"/>
      <c r="I126" s="89">
        <f t="shared" ref="I126:I141" si="34">G126*100%/D126</f>
        <v>0</v>
      </c>
      <c r="J126" s="90">
        <f t="shared" ref="J126:J141" si="35">I126*F126</f>
        <v>0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1.25" customHeight="1">
      <c r="A127" s="163" t="s">
        <v>365</v>
      </c>
      <c r="B127" s="165" t="s">
        <v>366</v>
      </c>
      <c r="C127" s="166" t="s">
        <v>30</v>
      </c>
      <c r="D127" s="99">
        <v>1.0</v>
      </c>
      <c r="E127" s="100">
        <f>+P.U!F4299</f>
        <v>84800</v>
      </c>
      <c r="F127" s="84">
        <f t="shared" si="33"/>
        <v>84800</v>
      </c>
      <c r="G127" s="174"/>
      <c r="H127" s="175"/>
      <c r="I127" s="89">
        <f t="shared" si="34"/>
        <v>0</v>
      </c>
      <c r="J127" s="90">
        <f t="shared" si="35"/>
        <v>0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1.25" customHeight="1">
      <c r="A128" s="163" t="s">
        <v>367</v>
      </c>
      <c r="B128" s="165" t="s">
        <v>368</v>
      </c>
      <c r="C128" s="166" t="s">
        <v>30</v>
      </c>
      <c r="D128" s="99">
        <v>1.0</v>
      </c>
      <c r="E128" s="100">
        <f>+P.U!F4343</f>
        <v>174200</v>
      </c>
      <c r="F128" s="84">
        <f t="shared" si="33"/>
        <v>174200</v>
      </c>
      <c r="G128" s="174"/>
      <c r="H128" s="175"/>
      <c r="I128" s="89">
        <f t="shared" si="34"/>
        <v>0</v>
      </c>
      <c r="J128" s="90">
        <f t="shared" si="35"/>
        <v>0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1.25" customHeight="1">
      <c r="A129" s="163" t="s">
        <v>369</v>
      </c>
      <c r="B129" s="165" t="s">
        <v>370</v>
      </c>
      <c r="C129" s="166" t="s">
        <v>30</v>
      </c>
      <c r="D129" s="99">
        <v>28.0</v>
      </c>
      <c r="E129" s="100">
        <f>+P.U!F4387</f>
        <v>62000</v>
      </c>
      <c r="F129" s="84">
        <f t="shared" si="33"/>
        <v>1736000</v>
      </c>
      <c r="G129" s="85">
        <v>24.0</v>
      </c>
      <c r="H129" s="175"/>
      <c r="I129" s="89">
        <f t="shared" si="34"/>
        <v>0.8571428571</v>
      </c>
      <c r="J129" s="90">
        <f t="shared" si="35"/>
        <v>1488000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1.25" customHeight="1">
      <c r="A130" s="163" t="s">
        <v>371</v>
      </c>
      <c r="B130" s="165" t="s">
        <v>372</v>
      </c>
      <c r="C130" s="166" t="s">
        <v>30</v>
      </c>
      <c r="D130" s="99">
        <v>25.0</v>
      </c>
      <c r="E130" s="100">
        <f>+P.U!F4431</f>
        <v>110300</v>
      </c>
      <c r="F130" s="84">
        <f t="shared" si="33"/>
        <v>2757500</v>
      </c>
      <c r="G130" s="85">
        <v>15.0</v>
      </c>
      <c r="H130" s="175"/>
      <c r="I130" s="89">
        <f t="shared" si="34"/>
        <v>0.6</v>
      </c>
      <c r="J130" s="90">
        <f t="shared" si="35"/>
        <v>1654500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1.25" customHeight="1">
      <c r="A131" s="163" t="s">
        <v>374</v>
      </c>
      <c r="B131" s="165" t="s">
        <v>375</v>
      </c>
      <c r="C131" s="166" t="s">
        <v>30</v>
      </c>
      <c r="D131" s="99">
        <v>12.0</v>
      </c>
      <c r="E131" s="100">
        <f>+P.U!F4475</f>
        <v>182000</v>
      </c>
      <c r="F131" s="84">
        <f t="shared" si="33"/>
        <v>2184000</v>
      </c>
      <c r="G131" s="174"/>
      <c r="H131" s="175"/>
      <c r="I131" s="89">
        <f t="shared" si="34"/>
        <v>0</v>
      </c>
      <c r="J131" s="90">
        <f t="shared" si="35"/>
        <v>0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1.25" customHeight="1">
      <c r="A132" s="163" t="s">
        <v>378</v>
      </c>
      <c r="B132" s="165" t="s">
        <v>379</v>
      </c>
      <c r="C132" s="166" t="s">
        <v>30</v>
      </c>
      <c r="D132" s="99">
        <v>10.0</v>
      </c>
      <c r="E132" s="100">
        <f>+P.U!F4519</f>
        <v>232400</v>
      </c>
      <c r="F132" s="84">
        <f t="shared" si="33"/>
        <v>2324000</v>
      </c>
      <c r="G132" s="174"/>
      <c r="H132" s="175"/>
      <c r="I132" s="89">
        <f t="shared" si="34"/>
        <v>0</v>
      </c>
      <c r="J132" s="90">
        <f t="shared" si="35"/>
        <v>0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1.25" customHeight="1">
      <c r="A133" s="163" t="s">
        <v>380</v>
      </c>
      <c r="B133" s="165" t="s">
        <v>381</v>
      </c>
      <c r="C133" s="166" t="s">
        <v>30</v>
      </c>
      <c r="D133" s="99">
        <v>4.0</v>
      </c>
      <c r="E133" s="100">
        <f>+P.U!F4563</f>
        <v>162800</v>
      </c>
      <c r="F133" s="84">
        <f t="shared" si="33"/>
        <v>651200</v>
      </c>
      <c r="G133" s="174"/>
      <c r="H133" s="175"/>
      <c r="I133" s="89">
        <f t="shared" si="34"/>
        <v>0</v>
      </c>
      <c r="J133" s="90">
        <f t="shared" si="35"/>
        <v>0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1.25" customHeight="1">
      <c r="A134" s="163" t="s">
        <v>385</v>
      </c>
      <c r="B134" s="165" t="s">
        <v>386</v>
      </c>
      <c r="C134" s="166" t="s">
        <v>30</v>
      </c>
      <c r="D134" s="99">
        <v>1.0</v>
      </c>
      <c r="E134" s="100">
        <v>5850000.0</v>
      </c>
      <c r="F134" s="84">
        <f t="shared" si="33"/>
        <v>5850000</v>
      </c>
      <c r="G134" s="174"/>
      <c r="H134" s="175"/>
      <c r="I134" s="89">
        <f t="shared" si="34"/>
        <v>0</v>
      </c>
      <c r="J134" s="90">
        <f t="shared" si="35"/>
        <v>0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1.25" customHeight="1">
      <c r="A135" s="214">
        <v>40220.0</v>
      </c>
      <c r="B135" s="165" t="s">
        <v>388</v>
      </c>
      <c r="C135" s="166" t="s">
        <v>30</v>
      </c>
      <c r="D135" s="99">
        <v>20.0</v>
      </c>
      <c r="E135" s="100">
        <f>+P.U!F4651</f>
        <v>189900</v>
      </c>
      <c r="F135" s="84">
        <f t="shared" si="33"/>
        <v>3798000</v>
      </c>
      <c r="G135" s="85">
        <v>8.0</v>
      </c>
      <c r="H135" s="175"/>
      <c r="I135" s="89">
        <f t="shared" si="34"/>
        <v>0.4</v>
      </c>
      <c r="J135" s="90">
        <f t="shared" si="35"/>
        <v>1519200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1.25" customHeight="1">
      <c r="A136" s="214">
        <v>40585.0</v>
      </c>
      <c r="B136" s="165" t="s">
        <v>389</v>
      </c>
      <c r="C136" s="166" t="s">
        <v>30</v>
      </c>
      <c r="D136" s="99">
        <v>1.0</v>
      </c>
      <c r="E136" s="100">
        <f>+P.U!F4695</f>
        <v>2525125</v>
      </c>
      <c r="F136" s="84">
        <f t="shared" si="33"/>
        <v>2525125</v>
      </c>
      <c r="G136" s="174"/>
      <c r="H136" s="175"/>
      <c r="I136" s="89">
        <f t="shared" si="34"/>
        <v>0</v>
      </c>
      <c r="J136" s="90">
        <f t="shared" si="35"/>
        <v>0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1.25" customHeight="1">
      <c r="A137" s="214">
        <v>40950.0</v>
      </c>
      <c r="B137" s="165" t="s">
        <v>390</v>
      </c>
      <c r="C137" s="166" t="s">
        <v>30</v>
      </c>
      <c r="D137" s="99">
        <v>1.0</v>
      </c>
      <c r="E137" s="100">
        <f>+P.U!F4739</f>
        <v>1288200</v>
      </c>
      <c r="F137" s="84">
        <f t="shared" si="33"/>
        <v>1288200</v>
      </c>
      <c r="G137" s="174"/>
      <c r="H137" s="175"/>
      <c r="I137" s="89">
        <f t="shared" si="34"/>
        <v>0</v>
      </c>
      <c r="J137" s="90">
        <f t="shared" si="35"/>
        <v>0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1.25" customHeight="1">
      <c r="A138" s="214">
        <v>41316.0</v>
      </c>
      <c r="B138" s="165" t="s">
        <v>391</v>
      </c>
      <c r="C138" s="166" t="s">
        <v>30</v>
      </c>
      <c r="D138" s="99">
        <v>1.0</v>
      </c>
      <c r="E138" s="100">
        <f>+P.U!F4783</f>
        <v>1688200</v>
      </c>
      <c r="F138" s="84">
        <f t="shared" si="33"/>
        <v>1688200</v>
      </c>
      <c r="G138" s="174"/>
      <c r="H138" s="175"/>
      <c r="I138" s="89">
        <f t="shared" si="34"/>
        <v>0</v>
      </c>
      <c r="J138" s="90">
        <f t="shared" si="35"/>
        <v>0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1.25" customHeight="1">
      <c r="A139" s="214">
        <v>41681.0</v>
      </c>
      <c r="B139" s="165" t="s">
        <v>392</v>
      </c>
      <c r="C139" s="166" t="s">
        <v>30</v>
      </c>
      <c r="D139" s="99">
        <v>1.0</v>
      </c>
      <c r="E139" s="100">
        <f>+P.U!F4827</f>
        <v>988200</v>
      </c>
      <c r="F139" s="84">
        <f t="shared" si="33"/>
        <v>988200</v>
      </c>
      <c r="G139" s="174"/>
      <c r="H139" s="175"/>
      <c r="I139" s="89">
        <f t="shared" si="34"/>
        <v>0</v>
      </c>
      <c r="J139" s="90">
        <f t="shared" si="35"/>
        <v>0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1.25" customHeight="1">
      <c r="A140" s="214">
        <v>42046.0</v>
      </c>
      <c r="B140" s="165" t="s">
        <v>393</v>
      </c>
      <c r="C140" s="166" t="s">
        <v>30</v>
      </c>
      <c r="D140" s="99">
        <v>1.0</v>
      </c>
      <c r="E140" s="100">
        <f>+P.U!F4871</f>
        <v>2546925</v>
      </c>
      <c r="F140" s="84">
        <f t="shared" si="33"/>
        <v>2546925</v>
      </c>
      <c r="G140" s="174"/>
      <c r="H140" s="175"/>
      <c r="I140" s="89">
        <f t="shared" si="34"/>
        <v>0</v>
      </c>
      <c r="J140" s="90">
        <f t="shared" si="35"/>
        <v>0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1.25" customHeight="1">
      <c r="A141" s="240">
        <v>42411.0</v>
      </c>
      <c r="B141" s="241" t="s">
        <v>395</v>
      </c>
      <c r="C141" s="242" t="s">
        <v>30</v>
      </c>
      <c r="D141" s="243">
        <v>1.0</v>
      </c>
      <c r="E141" s="244">
        <f>+P.U!F4915</f>
        <v>1946775</v>
      </c>
      <c r="F141" s="84">
        <f t="shared" si="33"/>
        <v>1946775</v>
      </c>
      <c r="G141" s="174"/>
      <c r="H141" s="175"/>
      <c r="I141" s="89">
        <f t="shared" si="34"/>
        <v>0</v>
      </c>
      <c r="J141" s="90">
        <f t="shared" si="35"/>
        <v>0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1.25" customHeight="1">
      <c r="A142" s="132"/>
      <c r="B142" s="4"/>
      <c r="C142" s="135" t="s">
        <v>396</v>
      </c>
      <c r="D142" s="2"/>
      <c r="E142" s="4"/>
      <c r="F142" s="245">
        <f>SUM(F7:F141)</f>
        <v>498518585</v>
      </c>
      <c r="G142" s="246"/>
      <c r="H142" s="247"/>
      <c r="I142" s="247"/>
      <c r="J142" s="24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1.25" customHeight="1">
      <c r="A143" s="52">
        <v>3.0</v>
      </c>
      <c r="B143" s="143" t="s">
        <v>397</v>
      </c>
      <c r="C143" s="56"/>
      <c r="D143" s="56"/>
      <c r="E143" s="59"/>
      <c r="F143" s="56"/>
      <c r="G143" s="145"/>
      <c r="H143" s="146"/>
      <c r="I143" s="146"/>
      <c r="J143" s="249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1.25" customHeight="1">
      <c r="A144" s="77" t="s">
        <v>399</v>
      </c>
      <c r="B144" s="79" t="s">
        <v>400</v>
      </c>
      <c r="C144" s="80" t="s">
        <v>34</v>
      </c>
      <c r="D144" s="82">
        <v>1.0</v>
      </c>
      <c r="E144" s="83">
        <v>1200000.0</v>
      </c>
      <c r="F144" s="84">
        <f t="shared" ref="F144:F145" si="36">ROUND(D144*E144,0)</f>
        <v>1200000</v>
      </c>
      <c r="G144" s="174"/>
      <c r="H144" s="175"/>
      <c r="I144" s="89">
        <f t="shared" ref="I144:I145" si="37">G144*100%/D144</f>
        <v>0</v>
      </c>
      <c r="J144" s="90">
        <f t="shared" ref="J144:J145" si="38">I144*F144</f>
        <v>0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1.25" customHeight="1">
      <c r="A145" s="29" t="s">
        <v>402</v>
      </c>
      <c r="B145" s="251" t="s">
        <v>404</v>
      </c>
      <c r="C145" s="242" t="s">
        <v>109</v>
      </c>
      <c r="D145" s="243">
        <v>100.0</v>
      </c>
      <c r="E145" s="244">
        <v>32150.0</v>
      </c>
      <c r="F145" s="84">
        <f t="shared" si="36"/>
        <v>3215000</v>
      </c>
      <c r="G145" s="174"/>
      <c r="H145" s="175"/>
      <c r="I145" s="89">
        <f t="shared" si="37"/>
        <v>0</v>
      </c>
      <c r="J145" s="90">
        <f t="shared" si="38"/>
        <v>0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0" customHeight="1">
      <c r="A146" s="252"/>
      <c r="B146" s="117"/>
      <c r="C146" s="253"/>
      <c r="D146" s="254" t="s">
        <v>408</v>
      </c>
      <c r="E146" s="117"/>
      <c r="F146" s="255"/>
      <c r="G146" s="256"/>
      <c r="H146" s="257"/>
      <c r="I146" s="258"/>
      <c r="J146" s="259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0" customHeight="1">
      <c r="A147" s="260" t="s">
        <v>410</v>
      </c>
      <c r="B147" s="116"/>
      <c r="C147" s="117"/>
      <c r="D147" s="261"/>
      <c r="E147" s="17"/>
      <c r="F147" s="262">
        <f>ROUND(F142+F144+F145,0)</f>
        <v>502933585</v>
      </c>
      <c r="G147" s="263"/>
      <c r="H147" s="264"/>
      <c r="I147" s="265"/>
      <c r="J147" s="266">
        <f>SUM(J7:J145)</f>
        <v>102573560.5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0" customHeight="1">
      <c r="A148" s="267" t="s">
        <v>411</v>
      </c>
      <c r="B148" s="268"/>
      <c r="C148" s="269"/>
      <c r="D148" s="270">
        <v>0.15</v>
      </c>
      <c r="E148" s="271"/>
      <c r="F148" s="272">
        <f>ROUND(F147*D148,0)</f>
        <v>75440038</v>
      </c>
      <c r="G148" s="263"/>
      <c r="H148" s="175"/>
      <c r="I148" s="273"/>
      <c r="J148" s="274">
        <f>J147*0.15</f>
        <v>15386034.07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0" customHeight="1">
      <c r="A149" s="267" t="s">
        <v>412</v>
      </c>
      <c r="B149" s="268"/>
      <c r="C149" s="269"/>
      <c r="D149" s="270">
        <v>0.2</v>
      </c>
      <c r="E149" s="271"/>
      <c r="F149" s="272">
        <f>ROUND(F147*D149,0)</f>
        <v>100586717</v>
      </c>
      <c r="G149" s="263"/>
      <c r="H149" s="175"/>
      <c r="I149" s="275"/>
      <c r="J149" s="276">
        <f>J147*0.2</f>
        <v>20514712.09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0" customHeight="1">
      <c r="A150" s="267" t="s">
        <v>408</v>
      </c>
      <c r="B150" s="268"/>
      <c r="C150" s="269"/>
      <c r="D150" s="277" t="s">
        <v>413</v>
      </c>
      <c r="E150" s="271"/>
      <c r="F150" s="272">
        <f>ROUND(F147+F148+F149,0)</f>
        <v>678960340</v>
      </c>
      <c r="G150" s="263"/>
      <c r="H150" s="175"/>
      <c r="I150" s="275"/>
      <c r="J150" s="276">
        <f>J147+J148+J149</f>
        <v>138474306.6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1.25" customHeight="1">
      <c r="A151" s="267" t="s">
        <v>414</v>
      </c>
      <c r="B151" s="268"/>
      <c r="C151" s="269"/>
      <c r="D151" s="270">
        <v>0.19</v>
      </c>
      <c r="E151" s="271"/>
      <c r="F151" s="272">
        <f>ROUND(F150*D151,0)</f>
        <v>129002465</v>
      </c>
      <c r="G151" s="263"/>
      <c r="H151" s="175"/>
      <c r="I151" s="275"/>
      <c r="J151" s="276">
        <f>J150*0.19</f>
        <v>26310118.26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1.25" customHeight="1">
      <c r="A152" s="280" t="s">
        <v>37</v>
      </c>
      <c r="B152" s="281"/>
      <c r="C152" s="282"/>
      <c r="D152" s="283"/>
      <c r="E152" s="285"/>
      <c r="F152" s="286">
        <f>ROUND(F150+F151,0)</f>
        <v>807962805</v>
      </c>
      <c r="G152" s="263"/>
      <c r="H152" s="287">
        <f>J152/F152</f>
        <v>0.2039505084</v>
      </c>
      <c r="I152" s="275"/>
      <c r="J152" s="288">
        <f>J151+J150</f>
        <v>164784424.9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1.25" customHeight="1">
      <c r="A153" s="289"/>
      <c r="B153" s="289"/>
      <c r="C153" s="289"/>
      <c r="D153" s="289"/>
      <c r="E153" s="290"/>
      <c r="F153" s="289"/>
      <c r="H153" s="38"/>
      <c r="I153" s="23"/>
      <c r="J153" s="24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1.25" customHeight="1">
      <c r="A154" s="289"/>
      <c r="B154" s="289"/>
      <c r="C154" s="289"/>
      <c r="D154" s="289"/>
      <c r="E154" s="290"/>
      <c r="F154" s="289"/>
      <c r="H154" s="38"/>
      <c r="I154" s="23"/>
      <c r="J154" s="24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1.25" customHeight="1">
      <c r="A155" s="289"/>
      <c r="B155" s="289"/>
      <c r="C155" s="289"/>
      <c r="D155" s="289"/>
      <c r="E155" s="290"/>
      <c r="F155" s="289"/>
      <c r="H155" s="38"/>
      <c r="I155" s="23"/>
      <c r="J155" s="24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1.25" customHeight="1">
      <c r="A156" s="289"/>
      <c r="B156" s="289"/>
      <c r="C156" s="289"/>
      <c r="D156" s="289"/>
      <c r="E156" s="290"/>
      <c r="F156" s="289"/>
      <c r="H156" s="38"/>
      <c r="I156" s="23"/>
      <c r="J156" s="24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1.25" customHeight="1">
      <c r="A157" s="289"/>
      <c r="B157" s="289"/>
      <c r="C157" s="289"/>
      <c r="D157" s="289"/>
      <c r="E157" s="290"/>
      <c r="F157" s="289"/>
      <c r="H157" s="38"/>
      <c r="I157" s="23"/>
      <c r="J157" s="24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1.25" customHeight="1">
      <c r="A158" s="289"/>
      <c r="B158" s="289"/>
      <c r="C158" s="289"/>
      <c r="D158" s="289"/>
      <c r="E158" s="290"/>
      <c r="F158" s="289"/>
      <c r="H158" s="38"/>
      <c r="I158" s="23"/>
      <c r="J158" s="24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1.25" customHeight="1">
      <c r="A159" s="289"/>
      <c r="B159" s="289"/>
      <c r="C159" s="289"/>
      <c r="D159" s="289"/>
      <c r="E159" s="290"/>
      <c r="F159" s="289"/>
      <c r="H159" s="38"/>
      <c r="I159" s="23"/>
      <c r="J159" s="24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1.25" customHeight="1">
      <c r="A160" s="289"/>
      <c r="B160" s="289"/>
      <c r="C160" s="289"/>
      <c r="D160" s="289"/>
      <c r="E160" s="290"/>
      <c r="F160" s="289"/>
      <c r="H160" s="38"/>
      <c r="I160" s="23"/>
      <c r="J160" s="24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1.25" customHeight="1">
      <c r="A161" s="289"/>
      <c r="B161" s="289"/>
      <c r="C161" s="289"/>
      <c r="D161" s="289"/>
      <c r="E161" s="290"/>
      <c r="F161" s="289"/>
      <c r="H161" s="38"/>
      <c r="I161" s="23"/>
      <c r="J161" s="24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1.25" customHeight="1">
      <c r="A162" s="289"/>
      <c r="B162" s="291"/>
      <c r="C162" s="289"/>
      <c r="D162" s="289"/>
      <c r="E162" s="290"/>
      <c r="F162" s="289"/>
      <c r="H162" s="38"/>
      <c r="I162" s="23"/>
      <c r="J162" s="24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1.25" customHeight="1">
      <c r="A163" s="289"/>
      <c r="B163" s="291"/>
      <c r="C163" s="289"/>
      <c r="D163" s="289"/>
      <c r="E163" s="290"/>
      <c r="F163" s="289"/>
      <c r="H163" s="38"/>
      <c r="I163" s="23"/>
      <c r="J163" s="24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1.25" customHeight="1">
      <c r="A164" s="289"/>
      <c r="B164" s="291"/>
      <c r="C164" s="289"/>
      <c r="D164" s="289"/>
      <c r="E164" s="290"/>
      <c r="F164" s="289"/>
      <c r="H164" s="38"/>
      <c r="I164" s="23"/>
      <c r="J164" s="24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1.25" customHeight="1">
      <c r="A165" s="289"/>
      <c r="B165" s="289"/>
      <c r="C165" s="289"/>
      <c r="D165" s="289"/>
      <c r="E165" s="290"/>
      <c r="F165" s="289"/>
      <c r="H165" s="38"/>
      <c r="I165" s="23"/>
      <c r="J165" s="24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1.25" customHeight="1">
      <c r="A166" s="289"/>
      <c r="B166" s="289"/>
      <c r="C166" s="289"/>
      <c r="D166" s="289"/>
      <c r="E166" s="290"/>
      <c r="F166" s="289"/>
      <c r="H166" s="38"/>
      <c r="I166" s="23"/>
      <c r="J166" s="24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1.25" customHeight="1">
      <c r="A167" s="289"/>
      <c r="B167" s="289"/>
      <c r="C167" s="289"/>
      <c r="D167" s="289"/>
      <c r="E167" s="290"/>
      <c r="F167" s="289"/>
      <c r="H167" s="38"/>
      <c r="I167" s="23"/>
      <c r="J167" s="24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1.25" customHeight="1">
      <c r="A168" s="289"/>
      <c r="B168" s="289"/>
      <c r="C168" s="289"/>
      <c r="D168" s="289"/>
      <c r="E168" s="290"/>
      <c r="F168" s="289"/>
      <c r="H168" s="38"/>
      <c r="I168" s="23"/>
      <c r="J168" s="24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1.25" customHeight="1">
      <c r="A169" s="289"/>
      <c r="B169" s="289"/>
      <c r="C169" s="289"/>
      <c r="D169" s="289"/>
      <c r="E169" s="290"/>
      <c r="F169" s="289"/>
      <c r="H169" s="38"/>
      <c r="I169" s="23"/>
      <c r="J169" s="24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1.25" customHeight="1">
      <c r="A170" s="289"/>
      <c r="B170" s="289"/>
      <c r="C170" s="289"/>
      <c r="D170" s="289"/>
      <c r="E170" s="290"/>
      <c r="F170" s="289"/>
      <c r="H170" s="38"/>
      <c r="I170" s="23"/>
      <c r="J170" s="24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1.25" customHeight="1">
      <c r="A171" s="289"/>
      <c r="B171" s="289"/>
      <c r="C171" s="289"/>
      <c r="D171" s="289"/>
      <c r="E171" s="290"/>
      <c r="F171" s="289"/>
      <c r="H171" s="38"/>
      <c r="I171" s="23"/>
      <c r="J171" s="24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1.25" customHeight="1">
      <c r="A172" s="289"/>
      <c r="B172" s="289"/>
      <c r="C172" s="289"/>
      <c r="D172" s="289"/>
      <c r="E172" s="290"/>
      <c r="F172" s="289"/>
      <c r="H172" s="38"/>
      <c r="I172" s="23"/>
      <c r="J172" s="24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1.25" customHeight="1">
      <c r="A173" s="289"/>
      <c r="B173" s="289"/>
      <c r="C173" s="289"/>
      <c r="D173" s="289"/>
      <c r="E173" s="290"/>
      <c r="F173" s="289"/>
      <c r="H173" s="38"/>
      <c r="I173" s="23"/>
      <c r="J173" s="24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1.25" customHeight="1">
      <c r="A174" s="289"/>
      <c r="B174" s="289"/>
      <c r="C174" s="289"/>
      <c r="D174" s="289"/>
      <c r="E174" s="290"/>
      <c r="F174" s="289"/>
      <c r="H174" s="38"/>
      <c r="I174" s="23"/>
      <c r="J174" s="24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1.25" customHeight="1">
      <c r="A175" s="289"/>
      <c r="B175" s="289"/>
      <c r="C175" s="289"/>
      <c r="D175" s="289"/>
      <c r="E175" s="290"/>
      <c r="F175" s="289"/>
      <c r="H175" s="38"/>
      <c r="I175" s="23"/>
      <c r="J175" s="24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1.25" customHeight="1">
      <c r="A176" s="289"/>
      <c r="B176" s="289"/>
      <c r="C176" s="289"/>
      <c r="D176" s="289"/>
      <c r="E176" s="290"/>
      <c r="F176" s="289"/>
      <c r="H176" s="38"/>
      <c r="I176" s="23"/>
      <c r="J176" s="24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1.25" customHeight="1">
      <c r="A177" s="289"/>
      <c r="B177" s="289"/>
      <c r="C177" s="289"/>
      <c r="D177" s="289"/>
      <c r="E177" s="290"/>
      <c r="F177" s="289"/>
      <c r="H177" s="38"/>
      <c r="I177" s="23"/>
      <c r="J177" s="24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1.25" customHeight="1">
      <c r="A178" s="289"/>
      <c r="B178" s="289"/>
      <c r="C178" s="289"/>
      <c r="D178" s="289"/>
      <c r="E178" s="290"/>
      <c r="F178" s="289"/>
      <c r="H178" s="38"/>
      <c r="I178" s="23"/>
      <c r="J178" s="24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1.25" customHeight="1">
      <c r="A179" s="289"/>
      <c r="B179" s="289"/>
      <c r="C179" s="289"/>
      <c r="D179" s="289"/>
      <c r="E179" s="290"/>
      <c r="F179" s="289"/>
      <c r="H179" s="38"/>
      <c r="I179" s="23"/>
      <c r="J179" s="24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1.25" customHeight="1">
      <c r="A180" s="289"/>
      <c r="B180" s="289"/>
      <c r="C180" s="289"/>
      <c r="D180" s="289"/>
      <c r="E180" s="290"/>
      <c r="F180" s="289"/>
      <c r="H180" s="38"/>
      <c r="I180" s="23"/>
      <c r="J180" s="24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1.25" customHeight="1">
      <c r="A181" s="289"/>
      <c r="B181" s="289"/>
      <c r="C181" s="289"/>
      <c r="D181" s="289"/>
      <c r="E181" s="290"/>
      <c r="F181" s="289"/>
      <c r="H181" s="38"/>
      <c r="I181" s="23"/>
      <c r="J181" s="24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1.25" customHeight="1">
      <c r="A182" s="289"/>
      <c r="B182" s="289"/>
      <c r="C182" s="289"/>
      <c r="D182" s="289"/>
      <c r="E182" s="290"/>
      <c r="F182" s="289"/>
      <c r="H182" s="38"/>
      <c r="I182" s="23"/>
      <c r="J182" s="24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1.25" customHeight="1">
      <c r="A183" s="289"/>
      <c r="B183" s="289"/>
      <c r="C183" s="289"/>
      <c r="D183" s="289"/>
      <c r="E183" s="290"/>
      <c r="F183" s="289"/>
      <c r="H183" s="38"/>
      <c r="I183" s="23"/>
      <c r="J183" s="24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1.25" customHeight="1">
      <c r="A184" s="289"/>
      <c r="B184" s="289"/>
      <c r="C184" s="289"/>
      <c r="D184" s="289"/>
      <c r="E184" s="290"/>
      <c r="F184" s="289"/>
      <c r="H184" s="38"/>
      <c r="I184" s="23"/>
      <c r="J184" s="24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1.25" customHeight="1">
      <c r="A185" s="289"/>
      <c r="B185" s="289"/>
      <c r="C185" s="289"/>
      <c r="D185" s="289"/>
      <c r="E185" s="290"/>
      <c r="F185" s="289"/>
      <c r="H185" s="38"/>
      <c r="I185" s="23"/>
      <c r="J185" s="24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1.25" customHeight="1">
      <c r="A186" s="289"/>
      <c r="B186" s="289"/>
      <c r="C186" s="289"/>
      <c r="D186" s="289"/>
      <c r="E186" s="290"/>
      <c r="F186" s="289"/>
      <c r="H186" s="38"/>
      <c r="I186" s="23"/>
      <c r="J186" s="24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1.25" customHeight="1">
      <c r="A187" s="289"/>
      <c r="B187" s="289"/>
      <c r="C187" s="289"/>
      <c r="D187" s="289"/>
      <c r="E187" s="290"/>
      <c r="F187" s="289"/>
      <c r="H187" s="38"/>
      <c r="I187" s="23"/>
      <c r="J187" s="24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1.25" customHeight="1">
      <c r="A188" s="289"/>
      <c r="B188" s="289"/>
      <c r="C188" s="289"/>
      <c r="D188" s="289"/>
      <c r="E188" s="290"/>
      <c r="F188" s="289"/>
      <c r="H188" s="38"/>
      <c r="I188" s="23"/>
      <c r="J188" s="24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1.25" customHeight="1">
      <c r="A189" s="289"/>
      <c r="B189" s="289"/>
      <c r="C189" s="289"/>
      <c r="D189" s="289"/>
      <c r="E189" s="290"/>
      <c r="F189" s="289"/>
      <c r="H189" s="38"/>
      <c r="I189" s="23"/>
      <c r="J189" s="24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1.25" customHeight="1">
      <c r="A190" s="289"/>
      <c r="B190" s="289"/>
      <c r="C190" s="289"/>
      <c r="D190" s="289"/>
      <c r="E190" s="290"/>
      <c r="F190" s="289"/>
      <c r="H190" s="38"/>
      <c r="I190" s="23"/>
      <c r="J190" s="24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1.25" customHeight="1">
      <c r="A191" s="289"/>
      <c r="B191" s="289"/>
      <c r="C191" s="289"/>
      <c r="D191" s="289"/>
      <c r="E191" s="290"/>
      <c r="F191" s="289"/>
      <c r="H191" s="38"/>
      <c r="I191" s="23"/>
      <c r="J191" s="24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1.25" customHeight="1">
      <c r="A192" s="289"/>
      <c r="B192" s="289"/>
      <c r="C192" s="289"/>
      <c r="D192" s="289"/>
      <c r="E192" s="290"/>
      <c r="F192" s="289"/>
      <c r="H192" s="38"/>
      <c r="I192" s="23"/>
      <c r="J192" s="24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1.25" customHeight="1">
      <c r="A193" s="289"/>
      <c r="B193" s="289"/>
      <c r="C193" s="289"/>
      <c r="D193" s="289"/>
      <c r="E193" s="290"/>
      <c r="F193" s="289"/>
      <c r="H193" s="38"/>
      <c r="I193" s="23"/>
      <c r="J193" s="24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1.25" customHeight="1">
      <c r="A194" s="289"/>
      <c r="B194" s="289"/>
      <c r="C194" s="289"/>
      <c r="D194" s="289"/>
      <c r="E194" s="290"/>
      <c r="F194" s="289"/>
      <c r="H194" s="38"/>
      <c r="I194" s="23"/>
      <c r="J194" s="24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1.25" customHeight="1">
      <c r="A195" s="289"/>
      <c r="B195" s="289"/>
      <c r="C195" s="289"/>
      <c r="D195" s="289"/>
      <c r="E195" s="290"/>
      <c r="F195" s="289"/>
      <c r="H195" s="38"/>
      <c r="I195" s="23"/>
      <c r="J195" s="24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1.25" customHeight="1">
      <c r="A196" s="289"/>
      <c r="B196" s="289"/>
      <c r="C196" s="289"/>
      <c r="D196" s="289"/>
      <c r="E196" s="290"/>
      <c r="F196" s="289"/>
      <c r="H196" s="38"/>
      <c r="I196" s="23"/>
      <c r="J196" s="24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1.25" customHeight="1">
      <c r="A197" s="289"/>
      <c r="B197" s="289"/>
      <c r="C197" s="289"/>
      <c r="D197" s="289"/>
      <c r="E197" s="290"/>
      <c r="F197" s="289"/>
      <c r="H197" s="38"/>
      <c r="I197" s="23"/>
      <c r="J197" s="24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1.25" customHeight="1">
      <c r="A198" s="289"/>
      <c r="B198" s="289"/>
      <c r="C198" s="289"/>
      <c r="D198" s="289"/>
      <c r="E198" s="290"/>
      <c r="F198" s="289"/>
      <c r="H198" s="38"/>
      <c r="I198" s="23"/>
      <c r="J198" s="24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1.25" customHeight="1">
      <c r="A199" s="289"/>
      <c r="B199" s="289"/>
      <c r="C199" s="289"/>
      <c r="D199" s="289"/>
      <c r="E199" s="290"/>
      <c r="F199" s="289"/>
      <c r="H199" s="38"/>
      <c r="I199" s="23"/>
      <c r="J199" s="24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1.25" customHeight="1">
      <c r="A200" s="289"/>
      <c r="B200" s="289"/>
      <c r="C200" s="289"/>
      <c r="D200" s="289"/>
      <c r="E200" s="290"/>
      <c r="F200" s="289"/>
      <c r="H200" s="38"/>
      <c r="I200" s="23"/>
      <c r="J200" s="24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1.25" customHeight="1">
      <c r="A201" s="289"/>
      <c r="B201" s="289"/>
      <c r="C201" s="289"/>
      <c r="D201" s="289"/>
      <c r="E201" s="290"/>
      <c r="F201" s="289"/>
      <c r="H201" s="38"/>
      <c r="I201" s="23"/>
      <c r="J201" s="24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1.25" customHeight="1">
      <c r="A202" s="289"/>
      <c r="B202" s="289"/>
      <c r="C202" s="289"/>
      <c r="D202" s="289"/>
      <c r="E202" s="290"/>
      <c r="F202" s="289"/>
      <c r="H202" s="38"/>
      <c r="I202" s="23"/>
      <c r="J202" s="24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1.25" customHeight="1">
      <c r="A203" s="289"/>
      <c r="B203" s="289"/>
      <c r="C203" s="289"/>
      <c r="D203" s="289"/>
      <c r="E203" s="290"/>
      <c r="F203" s="289"/>
      <c r="H203" s="38"/>
      <c r="I203" s="23"/>
      <c r="J203" s="24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1.25" customHeight="1">
      <c r="A204" s="289"/>
      <c r="B204" s="289"/>
      <c r="C204" s="289"/>
      <c r="D204" s="289"/>
      <c r="E204" s="290"/>
      <c r="F204" s="289"/>
      <c r="H204" s="38"/>
      <c r="I204" s="23"/>
      <c r="J204" s="24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1.25" customHeight="1">
      <c r="A205" s="289"/>
      <c r="B205" s="289"/>
      <c r="C205" s="289"/>
      <c r="D205" s="289"/>
      <c r="E205" s="290"/>
      <c r="F205" s="289"/>
      <c r="H205" s="38"/>
      <c r="I205" s="23"/>
      <c r="J205" s="24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1.25" customHeight="1">
      <c r="A206" s="289"/>
      <c r="B206" s="289"/>
      <c r="C206" s="289"/>
      <c r="D206" s="289"/>
      <c r="E206" s="290"/>
      <c r="F206" s="289"/>
      <c r="H206" s="38"/>
      <c r="I206" s="23"/>
      <c r="J206" s="24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1.25" customHeight="1">
      <c r="A207" s="289"/>
      <c r="B207" s="289"/>
      <c r="C207" s="289"/>
      <c r="D207" s="289"/>
      <c r="E207" s="290"/>
      <c r="F207" s="289"/>
      <c r="H207" s="38"/>
      <c r="I207" s="23"/>
      <c r="J207" s="24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1.25" customHeight="1">
      <c r="A208" s="289"/>
      <c r="B208" s="289"/>
      <c r="C208" s="289"/>
      <c r="D208" s="289"/>
      <c r="E208" s="290"/>
      <c r="F208" s="289"/>
      <c r="H208" s="38"/>
      <c r="I208" s="23"/>
      <c r="J208" s="24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1.25" customHeight="1">
      <c r="A209" s="289"/>
      <c r="B209" s="289"/>
      <c r="C209" s="289"/>
      <c r="D209" s="289"/>
      <c r="E209" s="290"/>
      <c r="F209" s="289"/>
      <c r="H209" s="38"/>
      <c r="I209" s="23"/>
      <c r="J209" s="24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1.25" customHeight="1">
      <c r="A210" s="289"/>
      <c r="B210" s="289"/>
      <c r="C210" s="289"/>
      <c r="D210" s="289"/>
      <c r="E210" s="290"/>
      <c r="F210" s="289"/>
      <c r="H210" s="38"/>
      <c r="I210" s="23"/>
      <c r="J210" s="24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1.25" customHeight="1">
      <c r="A211" s="289"/>
      <c r="B211" s="289"/>
      <c r="C211" s="289"/>
      <c r="D211" s="289"/>
      <c r="E211" s="290"/>
      <c r="F211" s="289"/>
      <c r="H211" s="38"/>
      <c r="I211" s="23"/>
      <c r="J211" s="24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1.25" customHeight="1">
      <c r="A212" s="289"/>
      <c r="B212" s="289"/>
      <c r="C212" s="289"/>
      <c r="D212" s="289"/>
      <c r="E212" s="290"/>
      <c r="F212" s="289"/>
      <c r="H212" s="38"/>
      <c r="I212" s="23"/>
      <c r="J212" s="24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1.25" customHeight="1">
      <c r="A213" s="289"/>
      <c r="B213" s="289"/>
      <c r="C213" s="289"/>
      <c r="D213" s="289"/>
      <c r="E213" s="290"/>
      <c r="F213" s="289"/>
      <c r="H213" s="38"/>
      <c r="I213" s="23"/>
      <c r="J213" s="24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1.25" customHeight="1">
      <c r="A214" s="289"/>
      <c r="B214" s="289"/>
      <c r="C214" s="289"/>
      <c r="D214" s="289"/>
      <c r="E214" s="290"/>
      <c r="F214" s="289"/>
      <c r="H214" s="38"/>
      <c r="I214" s="23"/>
      <c r="J214" s="24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1.25" customHeight="1">
      <c r="A215" s="289"/>
      <c r="B215" s="289"/>
      <c r="C215" s="289"/>
      <c r="D215" s="289"/>
      <c r="E215" s="290"/>
      <c r="F215" s="289"/>
      <c r="H215" s="38"/>
      <c r="I215" s="23"/>
      <c r="J215" s="24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1.25" customHeight="1">
      <c r="A216" s="289"/>
      <c r="B216" s="289"/>
      <c r="C216" s="289"/>
      <c r="D216" s="289"/>
      <c r="E216" s="290"/>
      <c r="F216" s="289"/>
      <c r="H216" s="38"/>
      <c r="I216" s="23"/>
      <c r="J216" s="24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1.25" customHeight="1">
      <c r="A217" s="289"/>
      <c r="B217" s="289"/>
      <c r="C217" s="289"/>
      <c r="D217" s="289"/>
      <c r="E217" s="290"/>
      <c r="F217" s="289"/>
      <c r="H217" s="38"/>
      <c r="I217" s="23"/>
      <c r="J217" s="24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1.25" customHeight="1">
      <c r="A218" s="289"/>
      <c r="B218" s="289"/>
      <c r="C218" s="289"/>
      <c r="D218" s="289"/>
      <c r="E218" s="290"/>
      <c r="F218" s="289"/>
      <c r="H218" s="38"/>
      <c r="I218" s="23"/>
      <c r="J218" s="24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1.25" customHeight="1">
      <c r="A219" s="289"/>
      <c r="B219" s="289"/>
      <c r="C219" s="289"/>
      <c r="D219" s="289"/>
      <c r="E219" s="290"/>
      <c r="F219" s="289"/>
      <c r="H219" s="38"/>
      <c r="I219" s="23"/>
      <c r="J219" s="24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1.25" customHeight="1">
      <c r="A220" s="289"/>
      <c r="B220" s="289"/>
      <c r="C220" s="289"/>
      <c r="D220" s="289"/>
      <c r="E220" s="290"/>
      <c r="F220" s="289"/>
      <c r="H220" s="38"/>
      <c r="I220" s="23"/>
      <c r="J220" s="24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1.25" customHeight="1">
      <c r="A221" s="289"/>
      <c r="B221" s="289"/>
      <c r="C221" s="289"/>
      <c r="D221" s="289"/>
      <c r="E221" s="290"/>
      <c r="F221" s="289"/>
      <c r="H221" s="38"/>
      <c r="I221" s="23"/>
      <c r="J221" s="24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1.25" customHeight="1">
      <c r="A222" s="289"/>
      <c r="B222" s="289"/>
      <c r="C222" s="289"/>
      <c r="D222" s="289"/>
      <c r="E222" s="290"/>
      <c r="F222" s="289"/>
      <c r="H222" s="38"/>
      <c r="I222" s="23"/>
      <c r="J222" s="24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1.25" customHeight="1">
      <c r="A223" s="289"/>
      <c r="B223" s="289"/>
      <c r="C223" s="289"/>
      <c r="D223" s="289"/>
      <c r="E223" s="290"/>
      <c r="F223" s="289"/>
      <c r="H223" s="38"/>
      <c r="I223" s="23"/>
      <c r="J223" s="24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1.25" customHeight="1">
      <c r="A224" s="289"/>
      <c r="B224" s="289"/>
      <c r="C224" s="289"/>
      <c r="D224" s="289"/>
      <c r="E224" s="290"/>
      <c r="F224" s="289"/>
      <c r="H224" s="38"/>
      <c r="I224" s="23"/>
      <c r="J224" s="24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1.25" customHeight="1">
      <c r="A225" s="289"/>
      <c r="B225" s="289"/>
      <c r="C225" s="289"/>
      <c r="D225" s="289"/>
      <c r="E225" s="290"/>
      <c r="F225" s="289"/>
      <c r="H225" s="38"/>
      <c r="I225" s="23"/>
      <c r="J225" s="24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1.25" customHeight="1">
      <c r="A226" s="289"/>
      <c r="B226" s="289"/>
      <c r="C226" s="289"/>
      <c r="D226" s="289"/>
      <c r="E226" s="290"/>
      <c r="F226" s="289"/>
      <c r="H226" s="38"/>
      <c r="I226" s="23"/>
      <c r="J226" s="24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1.25" customHeight="1">
      <c r="A227" s="289"/>
      <c r="B227" s="289"/>
      <c r="C227" s="289"/>
      <c r="D227" s="289"/>
      <c r="E227" s="290"/>
      <c r="F227" s="289"/>
      <c r="H227" s="38"/>
      <c r="I227" s="23"/>
      <c r="J227" s="24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1.25" customHeight="1">
      <c r="A228" s="289"/>
      <c r="B228" s="289"/>
      <c r="C228" s="289"/>
      <c r="D228" s="289"/>
      <c r="E228" s="290"/>
      <c r="F228" s="289"/>
      <c r="H228" s="38"/>
      <c r="I228" s="23"/>
      <c r="J228" s="24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1.25" customHeight="1">
      <c r="A229" s="289"/>
      <c r="B229" s="289"/>
      <c r="C229" s="289"/>
      <c r="D229" s="289"/>
      <c r="E229" s="290"/>
      <c r="F229" s="289"/>
      <c r="H229" s="38"/>
      <c r="I229" s="23"/>
      <c r="J229" s="24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1.25" customHeight="1">
      <c r="A230" s="289"/>
      <c r="B230" s="289"/>
      <c r="C230" s="289"/>
      <c r="D230" s="289"/>
      <c r="E230" s="290"/>
      <c r="F230" s="289"/>
      <c r="H230" s="38"/>
      <c r="I230" s="23"/>
      <c r="J230" s="24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1.25" customHeight="1">
      <c r="A231" s="289"/>
      <c r="B231" s="289"/>
      <c r="C231" s="289"/>
      <c r="D231" s="289"/>
      <c r="E231" s="290"/>
      <c r="F231" s="289"/>
      <c r="H231" s="38"/>
      <c r="I231" s="23"/>
      <c r="J231" s="24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1.25" customHeight="1">
      <c r="A232" s="289"/>
      <c r="B232" s="289"/>
      <c r="C232" s="289"/>
      <c r="D232" s="289"/>
      <c r="E232" s="290"/>
      <c r="F232" s="289"/>
      <c r="H232" s="38"/>
      <c r="I232" s="23"/>
      <c r="J232" s="24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1.25" customHeight="1">
      <c r="A233" s="289"/>
      <c r="B233" s="289"/>
      <c r="C233" s="289"/>
      <c r="D233" s="289"/>
      <c r="E233" s="290"/>
      <c r="F233" s="289"/>
      <c r="H233" s="38"/>
      <c r="I233" s="23"/>
      <c r="J233" s="24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1.25" customHeight="1">
      <c r="A234" s="289"/>
      <c r="B234" s="289"/>
      <c r="C234" s="289"/>
      <c r="D234" s="289"/>
      <c r="E234" s="290"/>
      <c r="F234" s="289"/>
      <c r="H234" s="38"/>
      <c r="I234" s="23"/>
      <c r="J234" s="24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1.25" customHeight="1">
      <c r="A235" s="289"/>
      <c r="B235" s="289"/>
      <c r="C235" s="289"/>
      <c r="D235" s="289"/>
      <c r="E235" s="290"/>
      <c r="F235" s="289"/>
      <c r="H235" s="38"/>
      <c r="I235" s="23"/>
      <c r="J235" s="24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1.25" customHeight="1">
      <c r="A236" s="289"/>
      <c r="B236" s="289"/>
      <c r="C236" s="289"/>
      <c r="D236" s="289"/>
      <c r="E236" s="290"/>
      <c r="F236" s="289"/>
      <c r="H236" s="38"/>
      <c r="I236" s="23"/>
      <c r="J236" s="24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1.25" customHeight="1">
      <c r="A237" s="289"/>
      <c r="B237" s="289"/>
      <c r="C237" s="289"/>
      <c r="D237" s="289"/>
      <c r="E237" s="290"/>
      <c r="F237" s="289"/>
      <c r="H237" s="38"/>
      <c r="I237" s="23"/>
      <c r="J237" s="24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1.25" customHeight="1">
      <c r="A238" s="289"/>
      <c r="B238" s="289"/>
      <c r="C238" s="289"/>
      <c r="D238" s="289"/>
      <c r="E238" s="290"/>
      <c r="F238" s="289"/>
      <c r="H238" s="38"/>
      <c r="I238" s="23"/>
      <c r="J238" s="24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1.25" customHeight="1">
      <c r="A239" s="289"/>
      <c r="B239" s="289"/>
      <c r="C239" s="289"/>
      <c r="D239" s="289"/>
      <c r="E239" s="290"/>
      <c r="F239" s="289"/>
      <c r="H239" s="38"/>
      <c r="I239" s="23"/>
      <c r="J239" s="24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1.25" customHeight="1">
      <c r="A240" s="289"/>
      <c r="B240" s="289"/>
      <c r="C240" s="289"/>
      <c r="D240" s="289"/>
      <c r="E240" s="290"/>
      <c r="F240" s="289"/>
      <c r="H240" s="38"/>
      <c r="I240" s="23"/>
      <c r="J240" s="24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1.25" customHeight="1">
      <c r="A241" s="289"/>
      <c r="B241" s="289"/>
      <c r="C241" s="289"/>
      <c r="D241" s="289"/>
      <c r="E241" s="290"/>
      <c r="F241" s="289"/>
      <c r="H241" s="38"/>
      <c r="I241" s="23"/>
      <c r="J241" s="24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1.25" customHeight="1">
      <c r="A242" s="289"/>
      <c r="B242" s="289"/>
      <c r="C242" s="289"/>
      <c r="D242" s="289"/>
      <c r="E242" s="290"/>
      <c r="F242" s="289"/>
      <c r="H242" s="38"/>
      <c r="I242" s="23"/>
      <c r="J242" s="24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1.25" customHeight="1">
      <c r="A243" s="289"/>
      <c r="B243" s="289"/>
      <c r="C243" s="289"/>
      <c r="D243" s="289"/>
      <c r="E243" s="290"/>
      <c r="F243" s="289"/>
      <c r="H243" s="38"/>
      <c r="I243" s="23"/>
      <c r="J243" s="24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1.25" customHeight="1">
      <c r="A244" s="289"/>
      <c r="B244" s="289"/>
      <c r="C244" s="289"/>
      <c r="D244" s="289"/>
      <c r="E244" s="290"/>
      <c r="F244" s="289"/>
      <c r="H244" s="38"/>
      <c r="I244" s="23"/>
      <c r="J244" s="24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1.25" customHeight="1">
      <c r="A245" s="289"/>
      <c r="B245" s="289"/>
      <c r="C245" s="289"/>
      <c r="D245" s="289"/>
      <c r="E245" s="290"/>
      <c r="F245" s="289"/>
      <c r="H245" s="38"/>
      <c r="I245" s="23"/>
      <c r="J245" s="24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1.25" customHeight="1">
      <c r="A246" s="289"/>
      <c r="B246" s="289"/>
      <c r="C246" s="289"/>
      <c r="D246" s="289"/>
      <c r="E246" s="290"/>
      <c r="F246" s="289"/>
      <c r="H246" s="38"/>
      <c r="I246" s="23"/>
      <c r="J246" s="24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1.25" customHeight="1">
      <c r="A247" s="289"/>
      <c r="B247" s="289"/>
      <c r="C247" s="289"/>
      <c r="D247" s="289"/>
      <c r="E247" s="290"/>
      <c r="F247" s="289"/>
      <c r="H247" s="38"/>
      <c r="I247" s="23"/>
      <c r="J247" s="24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1.25" customHeight="1">
      <c r="A248" s="289"/>
      <c r="B248" s="289"/>
      <c r="C248" s="289"/>
      <c r="D248" s="289"/>
      <c r="E248" s="290"/>
      <c r="F248" s="289"/>
      <c r="H248" s="38"/>
      <c r="I248" s="23"/>
      <c r="J248" s="24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1.25" customHeight="1">
      <c r="A249" s="289"/>
      <c r="B249" s="289"/>
      <c r="C249" s="289"/>
      <c r="D249" s="289"/>
      <c r="E249" s="290"/>
      <c r="F249" s="289"/>
      <c r="H249" s="38"/>
      <c r="I249" s="23"/>
      <c r="J249" s="24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1.25" customHeight="1">
      <c r="A250" s="289"/>
      <c r="B250" s="289"/>
      <c r="C250" s="289"/>
      <c r="D250" s="289"/>
      <c r="E250" s="290"/>
      <c r="F250" s="289"/>
      <c r="H250" s="38"/>
      <c r="I250" s="23"/>
      <c r="J250" s="24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1.25" customHeight="1">
      <c r="A251" s="289"/>
      <c r="B251" s="289"/>
      <c r="C251" s="289"/>
      <c r="D251" s="289"/>
      <c r="E251" s="290"/>
      <c r="F251" s="289"/>
      <c r="H251" s="38"/>
      <c r="I251" s="23"/>
      <c r="J251" s="24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1.25" customHeight="1">
      <c r="A252" s="289"/>
      <c r="B252" s="289"/>
      <c r="C252" s="289"/>
      <c r="D252" s="289"/>
      <c r="E252" s="290"/>
      <c r="F252" s="289"/>
      <c r="H252" s="38"/>
      <c r="I252" s="23"/>
      <c r="J252" s="24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1.25" customHeight="1">
      <c r="A253" s="289"/>
      <c r="B253" s="289"/>
      <c r="C253" s="289"/>
      <c r="D253" s="289"/>
      <c r="E253" s="290"/>
      <c r="F253" s="289"/>
      <c r="H253" s="38"/>
      <c r="I253" s="23"/>
      <c r="J253" s="24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1.25" customHeight="1">
      <c r="A254" s="289"/>
      <c r="B254" s="289"/>
      <c r="C254" s="289"/>
      <c r="D254" s="289"/>
      <c r="E254" s="290"/>
      <c r="F254" s="289"/>
      <c r="H254" s="38"/>
      <c r="I254" s="23"/>
      <c r="J254" s="24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1.25" customHeight="1">
      <c r="A255" s="289"/>
      <c r="B255" s="289"/>
      <c r="C255" s="289"/>
      <c r="D255" s="289"/>
      <c r="E255" s="290"/>
      <c r="F255" s="289"/>
      <c r="H255" s="38"/>
      <c r="I255" s="23"/>
      <c r="J255" s="24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1.25" customHeight="1">
      <c r="A256" s="289"/>
      <c r="B256" s="289"/>
      <c r="C256" s="289"/>
      <c r="D256" s="289"/>
      <c r="E256" s="290"/>
      <c r="F256" s="289"/>
      <c r="H256" s="38"/>
      <c r="I256" s="23"/>
      <c r="J256" s="24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1.25" customHeight="1">
      <c r="A257" s="289"/>
      <c r="B257" s="289"/>
      <c r="C257" s="289"/>
      <c r="D257" s="289"/>
      <c r="E257" s="290"/>
      <c r="F257" s="289"/>
      <c r="H257" s="38"/>
      <c r="I257" s="23"/>
      <c r="J257" s="24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1.25" customHeight="1">
      <c r="A258" s="289"/>
      <c r="B258" s="289"/>
      <c r="C258" s="289"/>
      <c r="D258" s="289"/>
      <c r="E258" s="290"/>
      <c r="F258" s="289"/>
      <c r="H258" s="38"/>
      <c r="I258" s="23"/>
      <c r="J258" s="24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1.25" customHeight="1">
      <c r="A259" s="289"/>
      <c r="B259" s="289"/>
      <c r="C259" s="289"/>
      <c r="D259" s="289"/>
      <c r="E259" s="290"/>
      <c r="F259" s="289"/>
      <c r="H259" s="38"/>
      <c r="I259" s="23"/>
      <c r="J259" s="24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1.25" customHeight="1">
      <c r="A260" s="289"/>
      <c r="B260" s="289"/>
      <c r="C260" s="289"/>
      <c r="D260" s="289"/>
      <c r="E260" s="290"/>
      <c r="F260" s="289"/>
      <c r="H260" s="38"/>
      <c r="I260" s="23"/>
      <c r="J260" s="24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1.25" customHeight="1">
      <c r="A261" s="289"/>
      <c r="B261" s="289"/>
      <c r="C261" s="289"/>
      <c r="D261" s="289"/>
      <c r="E261" s="290"/>
      <c r="F261" s="289"/>
      <c r="H261" s="38"/>
      <c r="I261" s="23"/>
      <c r="J261" s="24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1.25" customHeight="1">
      <c r="A262" s="289"/>
      <c r="B262" s="289"/>
      <c r="C262" s="289"/>
      <c r="D262" s="289"/>
      <c r="E262" s="290"/>
      <c r="F262" s="289"/>
      <c r="H262" s="38"/>
      <c r="I262" s="23"/>
      <c r="J262" s="24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1.25" customHeight="1">
      <c r="A263" s="289"/>
      <c r="B263" s="289"/>
      <c r="C263" s="289"/>
      <c r="D263" s="289"/>
      <c r="E263" s="290"/>
      <c r="F263" s="289"/>
      <c r="H263" s="38"/>
      <c r="I263" s="23"/>
      <c r="J263" s="24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1.25" customHeight="1">
      <c r="A264" s="289"/>
      <c r="B264" s="289"/>
      <c r="C264" s="289"/>
      <c r="D264" s="289"/>
      <c r="E264" s="290"/>
      <c r="F264" s="289"/>
      <c r="H264" s="38"/>
      <c r="I264" s="23"/>
      <c r="J264" s="24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1.25" customHeight="1">
      <c r="A265" s="289"/>
      <c r="B265" s="289"/>
      <c r="C265" s="289"/>
      <c r="D265" s="289"/>
      <c r="E265" s="290"/>
      <c r="F265" s="289"/>
      <c r="H265" s="38"/>
      <c r="I265" s="23"/>
      <c r="J265" s="24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1.25" customHeight="1">
      <c r="A266" s="289"/>
      <c r="B266" s="289"/>
      <c r="C266" s="289"/>
      <c r="D266" s="289"/>
      <c r="E266" s="290"/>
      <c r="F266" s="289"/>
      <c r="H266" s="38"/>
      <c r="I266" s="23"/>
      <c r="J266" s="24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1.25" customHeight="1">
      <c r="A267" s="289"/>
      <c r="B267" s="289"/>
      <c r="C267" s="289"/>
      <c r="D267" s="289"/>
      <c r="E267" s="290"/>
      <c r="F267" s="289"/>
      <c r="H267" s="38"/>
      <c r="I267" s="23"/>
      <c r="J267" s="24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1.25" customHeight="1">
      <c r="A268" s="289"/>
      <c r="B268" s="289"/>
      <c r="C268" s="289"/>
      <c r="D268" s="289"/>
      <c r="E268" s="290"/>
      <c r="F268" s="289"/>
      <c r="H268" s="38"/>
      <c r="I268" s="23"/>
      <c r="J268" s="24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1.25" customHeight="1">
      <c r="A269" s="289"/>
      <c r="B269" s="289"/>
      <c r="C269" s="289"/>
      <c r="D269" s="289"/>
      <c r="E269" s="290"/>
      <c r="F269" s="289"/>
      <c r="H269" s="38"/>
      <c r="I269" s="23"/>
      <c r="J269" s="24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1.25" customHeight="1">
      <c r="A270" s="289"/>
      <c r="B270" s="289"/>
      <c r="C270" s="289"/>
      <c r="D270" s="289"/>
      <c r="E270" s="290"/>
      <c r="F270" s="289"/>
      <c r="H270" s="38"/>
      <c r="I270" s="23"/>
      <c r="J270" s="24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1.25" customHeight="1">
      <c r="A271" s="289"/>
      <c r="B271" s="289"/>
      <c r="C271" s="289"/>
      <c r="D271" s="289"/>
      <c r="E271" s="290"/>
      <c r="F271" s="289"/>
      <c r="H271" s="38"/>
      <c r="I271" s="23"/>
      <c r="J271" s="24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1.25" customHeight="1">
      <c r="A272" s="289"/>
      <c r="B272" s="289"/>
      <c r="C272" s="289"/>
      <c r="D272" s="289"/>
      <c r="E272" s="290"/>
      <c r="F272" s="289"/>
      <c r="H272" s="38"/>
      <c r="I272" s="23"/>
      <c r="J272" s="24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1.25" customHeight="1">
      <c r="A273" s="289"/>
      <c r="B273" s="289"/>
      <c r="C273" s="289"/>
      <c r="D273" s="289"/>
      <c r="E273" s="290"/>
      <c r="F273" s="289"/>
      <c r="H273" s="38"/>
      <c r="I273" s="23"/>
      <c r="J273" s="24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1.25" customHeight="1">
      <c r="A274" s="289"/>
      <c r="B274" s="289"/>
      <c r="C274" s="289"/>
      <c r="D274" s="289"/>
      <c r="E274" s="290"/>
      <c r="F274" s="289"/>
      <c r="H274" s="38"/>
      <c r="I274" s="23"/>
      <c r="J274" s="24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1.25" customHeight="1">
      <c r="A275" s="289"/>
      <c r="B275" s="289"/>
      <c r="C275" s="289"/>
      <c r="D275" s="289"/>
      <c r="E275" s="290"/>
      <c r="F275" s="289"/>
      <c r="H275" s="38"/>
      <c r="I275" s="23"/>
      <c r="J275" s="24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1.25" customHeight="1">
      <c r="A276" s="289"/>
      <c r="B276" s="289"/>
      <c r="C276" s="289"/>
      <c r="D276" s="289"/>
      <c r="E276" s="290"/>
      <c r="F276" s="289"/>
      <c r="H276" s="38"/>
      <c r="I276" s="23"/>
      <c r="J276" s="24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1.25" customHeight="1">
      <c r="A277" s="289"/>
      <c r="B277" s="289"/>
      <c r="C277" s="289"/>
      <c r="D277" s="289"/>
      <c r="E277" s="290"/>
      <c r="F277" s="289"/>
      <c r="H277" s="38"/>
      <c r="I277" s="23"/>
      <c r="J277" s="24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1.25" customHeight="1">
      <c r="A278" s="289"/>
      <c r="B278" s="289"/>
      <c r="C278" s="289"/>
      <c r="D278" s="289"/>
      <c r="E278" s="290"/>
      <c r="F278" s="289"/>
      <c r="H278" s="38"/>
      <c r="I278" s="23"/>
      <c r="J278" s="24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1.25" customHeight="1">
      <c r="A279" s="289"/>
      <c r="B279" s="289"/>
      <c r="C279" s="289"/>
      <c r="D279" s="289"/>
      <c r="E279" s="290"/>
      <c r="F279" s="289"/>
      <c r="H279" s="38"/>
      <c r="I279" s="23"/>
      <c r="J279" s="24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1.25" customHeight="1">
      <c r="A280" s="289"/>
      <c r="B280" s="289"/>
      <c r="C280" s="289"/>
      <c r="D280" s="289"/>
      <c r="E280" s="290"/>
      <c r="F280" s="289"/>
      <c r="H280" s="38"/>
      <c r="I280" s="23"/>
      <c r="J280" s="24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1.25" customHeight="1">
      <c r="A281" s="289"/>
      <c r="B281" s="289"/>
      <c r="C281" s="289"/>
      <c r="D281" s="289"/>
      <c r="E281" s="290"/>
      <c r="F281" s="289"/>
      <c r="H281" s="38"/>
      <c r="I281" s="23"/>
      <c r="J281" s="24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1.25" customHeight="1">
      <c r="A282" s="289"/>
      <c r="B282" s="289"/>
      <c r="C282" s="289"/>
      <c r="D282" s="289"/>
      <c r="E282" s="290"/>
      <c r="F282" s="289"/>
      <c r="H282" s="38"/>
      <c r="I282" s="23"/>
      <c r="J282" s="24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1.25" customHeight="1">
      <c r="A283" s="289"/>
      <c r="B283" s="289"/>
      <c r="C283" s="289"/>
      <c r="D283" s="289"/>
      <c r="E283" s="290"/>
      <c r="F283" s="289"/>
      <c r="H283" s="38"/>
      <c r="I283" s="23"/>
      <c r="J283" s="24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1.25" customHeight="1">
      <c r="A284" s="289"/>
      <c r="B284" s="289"/>
      <c r="C284" s="289"/>
      <c r="D284" s="289"/>
      <c r="E284" s="290"/>
      <c r="F284" s="289"/>
      <c r="H284" s="38"/>
      <c r="I284" s="23"/>
      <c r="J284" s="24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1.25" customHeight="1">
      <c r="A285" s="289"/>
      <c r="B285" s="289"/>
      <c r="C285" s="289"/>
      <c r="D285" s="289"/>
      <c r="E285" s="290"/>
      <c r="F285" s="289"/>
      <c r="H285" s="38"/>
      <c r="I285" s="23"/>
      <c r="J285" s="24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1.25" customHeight="1">
      <c r="A286" s="289"/>
      <c r="B286" s="289"/>
      <c r="C286" s="289"/>
      <c r="D286" s="289"/>
      <c r="E286" s="290"/>
      <c r="F286" s="289"/>
      <c r="H286" s="38"/>
      <c r="I286" s="23"/>
      <c r="J286" s="24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1.25" customHeight="1">
      <c r="A287" s="289"/>
      <c r="B287" s="289"/>
      <c r="C287" s="289"/>
      <c r="D287" s="289"/>
      <c r="E287" s="290"/>
      <c r="F287" s="289"/>
      <c r="H287" s="38"/>
      <c r="I287" s="23"/>
      <c r="J287" s="24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1.25" customHeight="1">
      <c r="A288" s="289"/>
      <c r="B288" s="289"/>
      <c r="C288" s="289"/>
      <c r="D288" s="289"/>
      <c r="E288" s="290"/>
      <c r="F288" s="289"/>
      <c r="H288" s="38"/>
      <c r="I288" s="23"/>
      <c r="J288" s="24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1.25" customHeight="1">
      <c r="A289" s="289"/>
      <c r="B289" s="289"/>
      <c r="C289" s="289"/>
      <c r="D289" s="289"/>
      <c r="E289" s="290"/>
      <c r="F289" s="289"/>
      <c r="H289" s="38"/>
      <c r="I289" s="23"/>
      <c r="J289" s="24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1.25" customHeight="1">
      <c r="A290" s="289"/>
      <c r="B290" s="289"/>
      <c r="C290" s="289"/>
      <c r="D290" s="289"/>
      <c r="E290" s="290"/>
      <c r="F290" s="289"/>
      <c r="H290" s="38"/>
      <c r="I290" s="23"/>
      <c r="J290" s="24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1.25" customHeight="1">
      <c r="A291" s="289"/>
      <c r="B291" s="289"/>
      <c r="C291" s="289"/>
      <c r="D291" s="289"/>
      <c r="E291" s="290"/>
      <c r="F291" s="289"/>
      <c r="H291" s="38"/>
      <c r="I291" s="23"/>
      <c r="J291" s="24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1.25" customHeight="1">
      <c r="A292" s="289"/>
      <c r="B292" s="289"/>
      <c r="C292" s="289"/>
      <c r="D292" s="289"/>
      <c r="E292" s="290"/>
      <c r="F292" s="289"/>
      <c r="H292" s="38"/>
      <c r="I292" s="23"/>
      <c r="J292" s="24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1.25" customHeight="1">
      <c r="A293" s="289"/>
      <c r="B293" s="289"/>
      <c r="C293" s="289"/>
      <c r="D293" s="289"/>
      <c r="E293" s="290"/>
      <c r="F293" s="289"/>
      <c r="H293" s="38"/>
      <c r="I293" s="23"/>
      <c r="J293" s="24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1.25" customHeight="1">
      <c r="A294" s="289"/>
      <c r="B294" s="289"/>
      <c r="C294" s="289"/>
      <c r="D294" s="289"/>
      <c r="E294" s="290"/>
      <c r="F294" s="289"/>
      <c r="H294" s="38"/>
      <c r="I294" s="23"/>
      <c r="J294" s="24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1.25" customHeight="1">
      <c r="A295" s="289"/>
      <c r="B295" s="289"/>
      <c r="C295" s="289"/>
      <c r="D295" s="289"/>
      <c r="E295" s="290"/>
      <c r="F295" s="289"/>
      <c r="H295" s="38"/>
      <c r="I295" s="23"/>
      <c r="J295" s="24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1.25" customHeight="1">
      <c r="A296" s="289"/>
      <c r="B296" s="289"/>
      <c r="C296" s="289"/>
      <c r="D296" s="289"/>
      <c r="E296" s="290"/>
      <c r="F296" s="289"/>
      <c r="H296" s="38"/>
      <c r="I296" s="23"/>
      <c r="J296" s="24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1.25" customHeight="1">
      <c r="A297" s="289"/>
      <c r="B297" s="289"/>
      <c r="C297" s="289"/>
      <c r="D297" s="289"/>
      <c r="E297" s="290"/>
      <c r="F297" s="289"/>
      <c r="H297" s="38"/>
      <c r="I297" s="23"/>
      <c r="J297" s="24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1.25" customHeight="1">
      <c r="A298" s="289"/>
      <c r="B298" s="289"/>
      <c r="C298" s="289"/>
      <c r="D298" s="289"/>
      <c r="E298" s="290"/>
      <c r="F298" s="289"/>
      <c r="H298" s="38"/>
      <c r="I298" s="23"/>
      <c r="J298" s="24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1.25" customHeight="1">
      <c r="A299" s="289"/>
      <c r="B299" s="289"/>
      <c r="C299" s="289"/>
      <c r="D299" s="289"/>
      <c r="E299" s="290"/>
      <c r="F299" s="289"/>
      <c r="H299" s="38"/>
      <c r="I299" s="23"/>
      <c r="J299" s="24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1.25" customHeight="1">
      <c r="A300" s="289"/>
      <c r="B300" s="289"/>
      <c r="C300" s="289"/>
      <c r="D300" s="289"/>
      <c r="E300" s="290"/>
      <c r="F300" s="289"/>
      <c r="H300" s="38"/>
      <c r="I300" s="23"/>
      <c r="J300" s="24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1.25" customHeight="1">
      <c r="A301" s="289"/>
      <c r="B301" s="289"/>
      <c r="C301" s="289"/>
      <c r="D301" s="289"/>
      <c r="E301" s="290"/>
      <c r="F301" s="289"/>
      <c r="H301" s="38"/>
      <c r="I301" s="23"/>
      <c r="J301" s="24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1.25" customHeight="1">
      <c r="A302" s="289"/>
      <c r="B302" s="289"/>
      <c r="C302" s="289"/>
      <c r="D302" s="289"/>
      <c r="E302" s="290"/>
      <c r="F302" s="289"/>
      <c r="H302" s="38"/>
      <c r="I302" s="23"/>
      <c r="J302" s="24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1.25" customHeight="1">
      <c r="A303" s="289"/>
      <c r="B303" s="289"/>
      <c r="C303" s="289"/>
      <c r="D303" s="289"/>
      <c r="E303" s="290"/>
      <c r="F303" s="289"/>
      <c r="H303" s="38"/>
      <c r="I303" s="23"/>
      <c r="J303" s="24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1.25" customHeight="1">
      <c r="A304" s="289"/>
      <c r="B304" s="289"/>
      <c r="C304" s="289"/>
      <c r="D304" s="289"/>
      <c r="E304" s="290"/>
      <c r="F304" s="289"/>
      <c r="H304" s="38"/>
      <c r="I304" s="23"/>
      <c r="J304" s="24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1.25" customHeight="1">
      <c r="A305" s="289"/>
      <c r="B305" s="289"/>
      <c r="C305" s="289"/>
      <c r="D305" s="289"/>
      <c r="E305" s="290"/>
      <c r="F305" s="289"/>
      <c r="H305" s="38"/>
      <c r="I305" s="23"/>
      <c r="J305" s="24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1.25" customHeight="1">
      <c r="A306" s="289"/>
      <c r="B306" s="289"/>
      <c r="C306" s="289"/>
      <c r="D306" s="289"/>
      <c r="E306" s="290"/>
      <c r="F306" s="289"/>
      <c r="H306" s="38"/>
      <c r="I306" s="23"/>
      <c r="J306" s="24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1.25" customHeight="1">
      <c r="A307" s="289"/>
      <c r="B307" s="289"/>
      <c r="C307" s="289"/>
      <c r="D307" s="289"/>
      <c r="E307" s="290"/>
      <c r="F307" s="289"/>
      <c r="H307" s="38"/>
      <c r="I307" s="23"/>
      <c r="J307" s="24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1.25" customHeight="1">
      <c r="A308" s="289"/>
      <c r="B308" s="289"/>
      <c r="C308" s="289"/>
      <c r="D308" s="289"/>
      <c r="E308" s="290"/>
      <c r="F308" s="289"/>
      <c r="H308" s="38"/>
      <c r="I308" s="23"/>
      <c r="J308" s="24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1.25" customHeight="1">
      <c r="A309" s="289"/>
      <c r="B309" s="289"/>
      <c r="C309" s="289"/>
      <c r="D309" s="289"/>
      <c r="E309" s="290"/>
      <c r="F309" s="289"/>
      <c r="H309" s="38"/>
      <c r="I309" s="23"/>
      <c r="J309" s="24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1.25" customHeight="1">
      <c r="A310" s="289"/>
      <c r="B310" s="289"/>
      <c r="C310" s="289"/>
      <c r="D310" s="289"/>
      <c r="E310" s="290"/>
      <c r="F310" s="289"/>
      <c r="H310" s="38"/>
      <c r="I310" s="23"/>
      <c r="J310" s="24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1.25" customHeight="1">
      <c r="A311" s="289"/>
      <c r="B311" s="289"/>
      <c r="C311" s="289"/>
      <c r="D311" s="289"/>
      <c r="E311" s="290"/>
      <c r="F311" s="289"/>
      <c r="H311" s="38"/>
      <c r="I311" s="23"/>
      <c r="J311" s="24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1.25" customHeight="1">
      <c r="A312" s="289"/>
      <c r="B312" s="289"/>
      <c r="C312" s="289"/>
      <c r="D312" s="289"/>
      <c r="E312" s="290"/>
      <c r="F312" s="289"/>
      <c r="H312" s="38"/>
      <c r="I312" s="23"/>
      <c r="J312" s="24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1.25" customHeight="1">
      <c r="A313" s="289"/>
      <c r="B313" s="289"/>
      <c r="C313" s="289"/>
      <c r="D313" s="289"/>
      <c r="E313" s="290"/>
      <c r="F313" s="289"/>
      <c r="H313" s="38"/>
      <c r="I313" s="23"/>
      <c r="J313" s="24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1.25" customHeight="1">
      <c r="A314" s="289"/>
      <c r="B314" s="289"/>
      <c r="C314" s="289"/>
      <c r="D314" s="289"/>
      <c r="E314" s="290"/>
      <c r="F314" s="289"/>
      <c r="H314" s="38"/>
      <c r="I314" s="23"/>
      <c r="J314" s="24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1.25" customHeight="1">
      <c r="A315" s="289"/>
      <c r="B315" s="289"/>
      <c r="C315" s="289"/>
      <c r="D315" s="289"/>
      <c r="E315" s="290"/>
      <c r="F315" s="289"/>
      <c r="H315" s="38"/>
      <c r="I315" s="23"/>
      <c r="J315" s="24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1.25" customHeight="1">
      <c r="A316" s="289"/>
      <c r="B316" s="289"/>
      <c r="C316" s="289"/>
      <c r="D316" s="289"/>
      <c r="E316" s="290"/>
      <c r="F316" s="289"/>
      <c r="H316" s="38"/>
      <c r="I316" s="23"/>
      <c r="J316" s="24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1.25" customHeight="1">
      <c r="A317" s="289"/>
      <c r="B317" s="289"/>
      <c r="C317" s="289"/>
      <c r="D317" s="289"/>
      <c r="E317" s="290"/>
      <c r="F317" s="289"/>
      <c r="H317" s="38"/>
      <c r="I317" s="23"/>
      <c r="J317" s="24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1.25" customHeight="1">
      <c r="A318" s="289"/>
      <c r="B318" s="289"/>
      <c r="C318" s="289"/>
      <c r="D318" s="289"/>
      <c r="E318" s="290"/>
      <c r="F318" s="289"/>
      <c r="H318" s="38"/>
      <c r="I318" s="23"/>
      <c r="J318" s="24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1.25" customHeight="1">
      <c r="A319" s="289"/>
      <c r="B319" s="289"/>
      <c r="C319" s="289"/>
      <c r="D319" s="289"/>
      <c r="E319" s="290"/>
      <c r="F319" s="289"/>
      <c r="H319" s="38"/>
      <c r="I319" s="23"/>
      <c r="J319" s="24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1.25" customHeight="1">
      <c r="A320" s="289"/>
      <c r="B320" s="289"/>
      <c r="C320" s="289"/>
      <c r="D320" s="289"/>
      <c r="E320" s="290"/>
      <c r="F320" s="289"/>
      <c r="H320" s="38"/>
      <c r="I320" s="23"/>
      <c r="J320" s="24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1.25" customHeight="1">
      <c r="A321" s="289"/>
      <c r="B321" s="289"/>
      <c r="C321" s="289"/>
      <c r="D321" s="289"/>
      <c r="E321" s="290"/>
      <c r="F321" s="289"/>
      <c r="H321" s="38"/>
      <c r="I321" s="23"/>
      <c r="J321" s="24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1.25" customHeight="1">
      <c r="A322" s="289"/>
      <c r="B322" s="289"/>
      <c r="C322" s="289"/>
      <c r="D322" s="289"/>
      <c r="E322" s="290"/>
      <c r="F322" s="289"/>
      <c r="H322" s="38"/>
      <c r="I322" s="23"/>
      <c r="J322" s="24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1.25" customHeight="1">
      <c r="A323" s="289"/>
      <c r="B323" s="289"/>
      <c r="C323" s="289"/>
      <c r="D323" s="289"/>
      <c r="E323" s="290"/>
      <c r="F323" s="289"/>
      <c r="H323" s="38"/>
      <c r="I323" s="23"/>
      <c r="J323" s="24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1.25" customHeight="1">
      <c r="A324" s="289"/>
      <c r="B324" s="289"/>
      <c r="C324" s="289"/>
      <c r="D324" s="289"/>
      <c r="E324" s="290"/>
      <c r="F324" s="289"/>
      <c r="H324" s="38"/>
      <c r="I324" s="23"/>
      <c r="J324" s="24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1.25" customHeight="1">
      <c r="A325" s="289"/>
      <c r="B325" s="289"/>
      <c r="C325" s="289"/>
      <c r="D325" s="289"/>
      <c r="E325" s="290"/>
      <c r="F325" s="289"/>
      <c r="H325" s="38"/>
      <c r="I325" s="23"/>
      <c r="J325" s="24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1.25" customHeight="1">
      <c r="A326" s="289"/>
      <c r="B326" s="289"/>
      <c r="C326" s="289"/>
      <c r="D326" s="289"/>
      <c r="E326" s="290"/>
      <c r="F326" s="289"/>
      <c r="H326" s="38"/>
      <c r="I326" s="23"/>
      <c r="J326" s="24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1.25" customHeight="1">
      <c r="A327" s="289"/>
      <c r="B327" s="289"/>
      <c r="C327" s="289"/>
      <c r="D327" s="289"/>
      <c r="E327" s="290"/>
      <c r="F327" s="289"/>
      <c r="H327" s="38"/>
      <c r="I327" s="23"/>
      <c r="J327" s="24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1.25" customHeight="1">
      <c r="A328" s="289"/>
      <c r="B328" s="289"/>
      <c r="C328" s="289"/>
      <c r="D328" s="289"/>
      <c r="E328" s="290"/>
      <c r="F328" s="289"/>
      <c r="H328" s="38"/>
      <c r="I328" s="23"/>
      <c r="J328" s="24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1.25" customHeight="1">
      <c r="A329" s="289"/>
      <c r="B329" s="289"/>
      <c r="C329" s="289"/>
      <c r="D329" s="289"/>
      <c r="E329" s="290"/>
      <c r="F329" s="289"/>
      <c r="H329" s="38"/>
      <c r="I329" s="23"/>
      <c r="J329" s="24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1.25" customHeight="1">
      <c r="A330" s="289"/>
      <c r="B330" s="289"/>
      <c r="C330" s="289"/>
      <c r="D330" s="289"/>
      <c r="E330" s="290"/>
      <c r="F330" s="289"/>
      <c r="H330" s="38"/>
      <c r="I330" s="23"/>
      <c r="J330" s="24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1.25" customHeight="1">
      <c r="A331" s="289"/>
      <c r="B331" s="289"/>
      <c r="C331" s="289"/>
      <c r="D331" s="289"/>
      <c r="E331" s="290"/>
      <c r="F331" s="289"/>
      <c r="H331" s="38"/>
      <c r="I331" s="23"/>
      <c r="J331" s="24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1.25" customHeight="1">
      <c r="A332" s="289"/>
      <c r="B332" s="289"/>
      <c r="C332" s="289"/>
      <c r="D332" s="289"/>
      <c r="E332" s="290"/>
      <c r="F332" s="289"/>
      <c r="H332" s="38"/>
      <c r="I332" s="23"/>
      <c r="J332" s="24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1.25" customHeight="1">
      <c r="A333" s="289"/>
      <c r="B333" s="289"/>
      <c r="C333" s="289"/>
      <c r="D333" s="289"/>
      <c r="E333" s="290"/>
      <c r="F333" s="289"/>
      <c r="H333" s="38"/>
      <c r="I333" s="23"/>
      <c r="J333" s="24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1.25" customHeight="1">
      <c r="A334" s="289"/>
      <c r="B334" s="289"/>
      <c r="C334" s="289"/>
      <c r="D334" s="289"/>
      <c r="E334" s="290"/>
      <c r="F334" s="289"/>
      <c r="H334" s="38"/>
      <c r="I334" s="23"/>
      <c r="J334" s="24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1.25" customHeight="1">
      <c r="A335" s="289"/>
      <c r="B335" s="289"/>
      <c r="C335" s="289"/>
      <c r="D335" s="289"/>
      <c r="E335" s="290"/>
      <c r="F335" s="289"/>
      <c r="H335" s="38"/>
      <c r="I335" s="23"/>
      <c r="J335" s="24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1.25" customHeight="1">
      <c r="A336" s="289"/>
      <c r="B336" s="289"/>
      <c r="C336" s="289"/>
      <c r="D336" s="289"/>
      <c r="E336" s="290"/>
      <c r="F336" s="289"/>
      <c r="H336" s="38"/>
      <c r="I336" s="23"/>
      <c r="J336" s="24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1.25" customHeight="1">
      <c r="A337" s="289"/>
      <c r="B337" s="289"/>
      <c r="C337" s="289"/>
      <c r="D337" s="289"/>
      <c r="E337" s="290"/>
      <c r="F337" s="289"/>
      <c r="H337" s="38"/>
      <c r="I337" s="23"/>
      <c r="J337" s="24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1.25" customHeight="1">
      <c r="A338" s="289"/>
      <c r="B338" s="289"/>
      <c r="C338" s="289"/>
      <c r="D338" s="289"/>
      <c r="E338" s="290"/>
      <c r="F338" s="289"/>
      <c r="H338" s="38"/>
      <c r="I338" s="23"/>
      <c r="J338" s="24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1.25" customHeight="1">
      <c r="A339" s="289"/>
      <c r="B339" s="289"/>
      <c r="C339" s="289"/>
      <c r="D339" s="289"/>
      <c r="E339" s="290"/>
      <c r="F339" s="289"/>
      <c r="H339" s="38"/>
      <c r="I339" s="23"/>
      <c r="J339" s="24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1.25" customHeight="1">
      <c r="A340" s="289"/>
      <c r="B340" s="289"/>
      <c r="C340" s="289"/>
      <c r="D340" s="289"/>
      <c r="E340" s="290"/>
      <c r="F340" s="289"/>
      <c r="H340" s="38"/>
      <c r="I340" s="23"/>
      <c r="J340" s="24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1.25" customHeight="1">
      <c r="A341" s="289"/>
      <c r="B341" s="289"/>
      <c r="C341" s="289"/>
      <c r="D341" s="289"/>
      <c r="E341" s="290"/>
      <c r="F341" s="289"/>
      <c r="H341" s="38"/>
      <c r="I341" s="23"/>
      <c r="J341" s="24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1.25" customHeight="1">
      <c r="A342" s="289"/>
      <c r="B342" s="289"/>
      <c r="C342" s="289"/>
      <c r="D342" s="289"/>
      <c r="E342" s="290"/>
      <c r="F342" s="289"/>
      <c r="H342" s="38"/>
      <c r="I342" s="23"/>
      <c r="J342" s="24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1.25" customHeight="1">
      <c r="A343" s="289"/>
      <c r="B343" s="289"/>
      <c r="C343" s="289"/>
      <c r="D343" s="289"/>
      <c r="E343" s="290"/>
      <c r="F343" s="289"/>
      <c r="H343" s="38"/>
      <c r="I343" s="23"/>
      <c r="J343" s="24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1.25" customHeight="1">
      <c r="A344" s="289"/>
      <c r="B344" s="289"/>
      <c r="C344" s="289"/>
      <c r="D344" s="289"/>
      <c r="E344" s="290"/>
      <c r="F344" s="289"/>
      <c r="H344" s="38"/>
      <c r="I344" s="23"/>
      <c r="J344" s="24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1.25" customHeight="1">
      <c r="A345" s="289"/>
      <c r="B345" s="289"/>
      <c r="C345" s="289"/>
      <c r="D345" s="289"/>
      <c r="E345" s="290"/>
      <c r="F345" s="289"/>
      <c r="H345" s="38"/>
      <c r="I345" s="23"/>
      <c r="J345" s="24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1.25" customHeight="1">
      <c r="A346" s="289"/>
      <c r="B346" s="289"/>
      <c r="C346" s="289"/>
      <c r="D346" s="289"/>
      <c r="E346" s="290"/>
      <c r="F346" s="289"/>
      <c r="H346" s="38"/>
      <c r="I346" s="23"/>
      <c r="J346" s="24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1.25" customHeight="1">
      <c r="A347" s="289"/>
      <c r="B347" s="289"/>
      <c r="C347" s="289"/>
      <c r="D347" s="289"/>
      <c r="E347" s="290"/>
      <c r="F347" s="289"/>
      <c r="H347" s="38"/>
      <c r="I347" s="23"/>
      <c r="J347" s="24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1.25" customHeight="1">
      <c r="A348" s="289"/>
      <c r="B348" s="289"/>
      <c r="C348" s="289"/>
      <c r="D348" s="289"/>
      <c r="E348" s="290"/>
      <c r="F348" s="289"/>
      <c r="H348" s="38"/>
      <c r="I348" s="23"/>
      <c r="J348" s="24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1.25" customHeight="1">
      <c r="A349" s="289"/>
      <c r="B349" s="289"/>
      <c r="C349" s="289"/>
      <c r="D349" s="289"/>
      <c r="E349" s="290"/>
      <c r="F349" s="289"/>
      <c r="H349" s="38"/>
      <c r="I349" s="23"/>
      <c r="J349" s="24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1.25" customHeight="1">
      <c r="A350" s="289"/>
      <c r="B350" s="289"/>
      <c r="C350" s="289"/>
      <c r="D350" s="289"/>
      <c r="E350" s="290"/>
      <c r="F350" s="289"/>
      <c r="H350" s="38"/>
      <c r="I350" s="23"/>
      <c r="J350" s="24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1.25" customHeight="1">
      <c r="A351" s="289"/>
      <c r="B351" s="289"/>
      <c r="C351" s="289"/>
      <c r="D351" s="289"/>
      <c r="E351" s="290"/>
      <c r="F351" s="289"/>
      <c r="H351" s="38"/>
      <c r="I351" s="23"/>
      <c r="J351" s="24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1.25" customHeight="1">
      <c r="A352" s="289"/>
      <c r="B352" s="289"/>
      <c r="C352" s="289"/>
      <c r="D352" s="289"/>
      <c r="E352" s="290"/>
      <c r="F352" s="289"/>
      <c r="H352" s="38"/>
      <c r="I352" s="23"/>
      <c r="J352" s="24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1.25" customHeight="1">
      <c r="A353" s="289"/>
      <c r="B353" s="289"/>
      <c r="C353" s="289"/>
      <c r="D353" s="289"/>
      <c r="E353" s="290"/>
      <c r="F353" s="289"/>
      <c r="H353" s="38"/>
      <c r="I353" s="23"/>
      <c r="J353" s="24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1.25" customHeight="1">
      <c r="A354" s="289"/>
      <c r="B354" s="289"/>
      <c r="C354" s="289"/>
      <c r="D354" s="289"/>
      <c r="E354" s="290"/>
      <c r="F354" s="289"/>
      <c r="H354" s="38"/>
      <c r="I354" s="23"/>
      <c r="J354" s="24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1.25" customHeight="1">
      <c r="A355" s="289"/>
      <c r="B355" s="289"/>
      <c r="C355" s="289"/>
      <c r="D355" s="289"/>
      <c r="E355" s="290"/>
      <c r="F355" s="289"/>
      <c r="H355" s="38"/>
      <c r="I355" s="23"/>
      <c r="J355" s="24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1.25" customHeight="1">
      <c r="A356" s="289"/>
      <c r="B356" s="289"/>
      <c r="C356" s="289"/>
      <c r="D356" s="289"/>
      <c r="E356" s="290"/>
      <c r="F356" s="289"/>
      <c r="H356" s="38"/>
      <c r="I356" s="23"/>
      <c r="J356" s="24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1.25" customHeight="1">
      <c r="A357" s="289"/>
      <c r="B357" s="289"/>
      <c r="C357" s="289"/>
      <c r="D357" s="289"/>
      <c r="E357" s="290"/>
      <c r="F357" s="289"/>
      <c r="H357" s="38"/>
      <c r="I357" s="23"/>
      <c r="J357" s="24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1.25" customHeight="1">
      <c r="A358" s="289"/>
      <c r="B358" s="289"/>
      <c r="C358" s="289"/>
      <c r="D358" s="289"/>
      <c r="E358" s="290"/>
      <c r="F358" s="289"/>
      <c r="H358" s="38"/>
      <c r="I358" s="23"/>
      <c r="J358" s="24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1.25" customHeight="1">
      <c r="A359" s="289"/>
      <c r="B359" s="289"/>
      <c r="C359" s="289"/>
      <c r="D359" s="289"/>
      <c r="E359" s="290"/>
      <c r="F359" s="289"/>
      <c r="H359" s="38"/>
      <c r="I359" s="23"/>
      <c r="J359" s="24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1.25" customHeight="1">
      <c r="A360" s="289"/>
      <c r="B360" s="289"/>
      <c r="C360" s="289"/>
      <c r="D360" s="289"/>
      <c r="E360" s="290"/>
      <c r="F360" s="289"/>
      <c r="H360" s="38"/>
      <c r="I360" s="23"/>
      <c r="J360" s="24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1.25" customHeight="1">
      <c r="A361" s="289"/>
      <c r="B361" s="289"/>
      <c r="C361" s="289"/>
      <c r="D361" s="289"/>
      <c r="E361" s="290"/>
      <c r="F361" s="289"/>
      <c r="H361" s="38"/>
      <c r="I361" s="23"/>
      <c r="J361" s="24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1.25" customHeight="1">
      <c r="A362" s="289"/>
      <c r="B362" s="289"/>
      <c r="C362" s="289"/>
      <c r="D362" s="289"/>
      <c r="E362" s="290"/>
      <c r="F362" s="289"/>
      <c r="H362" s="38"/>
      <c r="I362" s="23"/>
      <c r="J362" s="24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1.25" customHeight="1">
      <c r="A363" s="289"/>
      <c r="B363" s="289"/>
      <c r="C363" s="289"/>
      <c r="D363" s="289"/>
      <c r="E363" s="290"/>
      <c r="F363" s="289"/>
      <c r="H363" s="38"/>
      <c r="I363" s="23"/>
      <c r="J363" s="24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1.25" customHeight="1">
      <c r="A364" s="289"/>
      <c r="B364" s="289"/>
      <c r="C364" s="289"/>
      <c r="D364" s="289"/>
      <c r="E364" s="290"/>
      <c r="F364" s="289"/>
      <c r="H364" s="38"/>
      <c r="I364" s="23"/>
      <c r="J364" s="24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1.25" customHeight="1">
      <c r="A365" s="289"/>
      <c r="B365" s="289"/>
      <c r="C365" s="289"/>
      <c r="D365" s="289"/>
      <c r="E365" s="290"/>
      <c r="F365" s="289"/>
      <c r="H365" s="38"/>
      <c r="I365" s="23"/>
      <c r="J365" s="24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1.25" customHeight="1">
      <c r="A366" s="289"/>
      <c r="B366" s="289"/>
      <c r="C366" s="289"/>
      <c r="D366" s="289"/>
      <c r="E366" s="290"/>
      <c r="F366" s="289"/>
      <c r="H366" s="38"/>
      <c r="I366" s="23"/>
      <c r="J366" s="24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1.25" customHeight="1">
      <c r="A367" s="289"/>
      <c r="B367" s="289"/>
      <c r="C367" s="289"/>
      <c r="D367" s="289"/>
      <c r="E367" s="290"/>
      <c r="F367" s="289"/>
      <c r="H367" s="38"/>
      <c r="I367" s="23"/>
      <c r="J367" s="24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1.25" customHeight="1">
      <c r="A368" s="289"/>
      <c r="B368" s="289"/>
      <c r="C368" s="289"/>
      <c r="D368" s="289"/>
      <c r="E368" s="290"/>
      <c r="F368" s="289"/>
      <c r="H368" s="38"/>
      <c r="I368" s="23"/>
      <c r="J368" s="24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1.25" customHeight="1">
      <c r="A369" s="289"/>
      <c r="B369" s="289"/>
      <c r="C369" s="289"/>
      <c r="D369" s="289"/>
      <c r="E369" s="290"/>
      <c r="F369" s="289"/>
      <c r="H369" s="38"/>
      <c r="I369" s="23"/>
      <c r="J369" s="24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1.25" customHeight="1">
      <c r="A370" s="289"/>
      <c r="B370" s="289"/>
      <c r="C370" s="289"/>
      <c r="D370" s="289"/>
      <c r="E370" s="290"/>
      <c r="F370" s="289"/>
      <c r="H370" s="38"/>
      <c r="I370" s="23"/>
      <c r="J370" s="24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1.25" customHeight="1">
      <c r="A371" s="289"/>
      <c r="B371" s="289"/>
      <c r="C371" s="289"/>
      <c r="D371" s="289"/>
      <c r="E371" s="290"/>
      <c r="F371" s="289"/>
      <c r="H371" s="38"/>
      <c r="I371" s="23"/>
      <c r="J371" s="24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1.25" customHeight="1">
      <c r="A372" s="289"/>
      <c r="B372" s="289"/>
      <c r="C372" s="289"/>
      <c r="D372" s="289"/>
      <c r="E372" s="290"/>
      <c r="F372" s="289"/>
      <c r="H372" s="38"/>
      <c r="I372" s="23"/>
      <c r="J372" s="24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1.25" customHeight="1">
      <c r="A373" s="289"/>
      <c r="B373" s="289"/>
      <c r="C373" s="289"/>
      <c r="D373" s="289"/>
      <c r="E373" s="290"/>
      <c r="F373" s="289"/>
      <c r="H373" s="38"/>
      <c r="I373" s="23"/>
      <c r="J373" s="24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1.25" customHeight="1">
      <c r="A374" s="289"/>
      <c r="B374" s="289"/>
      <c r="C374" s="289"/>
      <c r="D374" s="289"/>
      <c r="E374" s="290"/>
      <c r="F374" s="289"/>
      <c r="H374" s="38"/>
      <c r="I374" s="23"/>
      <c r="J374" s="24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1.25" customHeight="1">
      <c r="A375" s="289"/>
      <c r="B375" s="289"/>
      <c r="C375" s="289"/>
      <c r="D375" s="289"/>
      <c r="E375" s="290"/>
      <c r="F375" s="289"/>
      <c r="H375" s="38"/>
      <c r="I375" s="23"/>
      <c r="J375" s="24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1.25" customHeight="1">
      <c r="A376" s="289"/>
      <c r="B376" s="289"/>
      <c r="C376" s="289"/>
      <c r="D376" s="289"/>
      <c r="E376" s="290"/>
      <c r="F376" s="289"/>
      <c r="H376" s="38"/>
      <c r="I376" s="23"/>
      <c r="J376" s="24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1.25" customHeight="1">
      <c r="A377" s="289"/>
      <c r="B377" s="289"/>
      <c r="C377" s="289"/>
      <c r="D377" s="289"/>
      <c r="E377" s="290"/>
      <c r="F377" s="289"/>
      <c r="H377" s="38"/>
      <c r="I377" s="23"/>
      <c r="J377" s="24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1.25" customHeight="1">
      <c r="A378" s="289"/>
      <c r="B378" s="289"/>
      <c r="C378" s="289"/>
      <c r="D378" s="289"/>
      <c r="E378" s="290"/>
      <c r="F378" s="289"/>
      <c r="H378" s="38"/>
      <c r="I378" s="23"/>
      <c r="J378" s="24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1.25" customHeight="1">
      <c r="A379" s="289"/>
      <c r="B379" s="289"/>
      <c r="C379" s="289"/>
      <c r="D379" s="289"/>
      <c r="E379" s="290"/>
      <c r="F379" s="289"/>
      <c r="H379" s="38"/>
      <c r="I379" s="23"/>
      <c r="J379" s="24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1.25" customHeight="1">
      <c r="A380" s="289"/>
      <c r="B380" s="289"/>
      <c r="C380" s="289"/>
      <c r="D380" s="289"/>
      <c r="E380" s="290"/>
      <c r="F380" s="289"/>
      <c r="H380" s="38"/>
      <c r="I380" s="23"/>
      <c r="J380" s="24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1.25" customHeight="1">
      <c r="A381" s="289"/>
      <c r="B381" s="289"/>
      <c r="C381" s="289"/>
      <c r="D381" s="289"/>
      <c r="E381" s="290"/>
      <c r="F381" s="289"/>
      <c r="H381" s="38"/>
      <c r="I381" s="23"/>
      <c r="J381" s="24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1.25" customHeight="1">
      <c r="A382" s="289"/>
      <c r="B382" s="289"/>
      <c r="C382" s="289"/>
      <c r="D382" s="289"/>
      <c r="E382" s="290"/>
      <c r="F382" s="289"/>
      <c r="H382" s="38"/>
      <c r="I382" s="23"/>
      <c r="J382" s="24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1.25" customHeight="1">
      <c r="A383" s="289"/>
      <c r="B383" s="289"/>
      <c r="C383" s="289"/>
      <c r="D383" s="289"/>
      <c r="E383" s="290"/>
      <c r="F383" s="289"/>
      <c r="H383" s="38"/>
      <c r="I383" s="23"/>
      <c r="J383" s="24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1.25" customHeight="1">
      <c r="A384" s="289"/>
      <c r="B384" s="289"/>
      <c r="C384" s="289"/>
      <c r="D384" s="289"/>
      <c r="E384" s="290"/>
      <c r="F384" s="289"/>
      <c r="H384" s="38"/>
      <c r="I384" s="23"/>
      <c r="J384" s="24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1.25" customHeight="1">
      <c r="A385" s="289"/>
      <c r="B385" s="289"/>
      <c r="C385" s="289"/>
      <c r="D385" s="289"/>
      <c r="E385" s="290"/>
      <c r="F385" s="289"/>
      <c r="H385" s="38"/>
      <c r="I385" s="23"/>
      <c r="J385" s="24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1.25" customHeight="1">
      <c r="A386" s="289"/>
      <c r="B386" s="289"/>
      <c r="C386" s="289"/>
      <c r="D386" s="289"/>
      <c r="E386" s="290"/>
      <c r="F386" s="289"/>
      <c r="H386" s="38"/>
      <c r="I386" s="23"/>
      <c r="J386" s="24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1.25" customHeight="1">
      <c r="A387" s="289"/>
      <c r="B387" s="289"/>
      <c r="C387" s="289"/>
      <c r="D387" s="289"/>
      <c r="E387" s="290"/>
      <c r="F387" s="289"/>
      <c r="H387" s="38"/>
      <c r="I387" s="23"/>
      <c r="J387" s="24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1.25" customHeight="1">
      <c r="A388" s="289"/>
      <c r="B388" s="289"/>
      <c r="C388" s="289"/>
      <c r="D388" s="289"/>
      <c r="E388" s="290"/>
      <c r="F388" s="289"/>
      <c r="H388" s="38"/>
      <c r="I388" s="23"/>
      <c r="J388" s="24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1.25" customHeight="1">
      <c r="A389" s="289"/>
      <c r="B389" s="289"/>
      <c r="C389" s="289"/>
      <c r="D389" s="289"/>
      <c r="E389" s="290"/>
      <c r="F389" s="289"/>
      <c r="H389" s="38"/>
      <c r="I389" s="23"/>
      <c r="J389" s="24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1.25" customHeight="1">
      <c r="A390" s="289"/>
      <c r="B390" s="289"/>
      <c r="C390" s="289"/>
      <c r="D390" s="289"/>
      <c r="E390" s="290"/>
      <c r="F390" s="289"/>
      <c r="H390" s="38"/>
      <c r="I390" s="23"/>
      <c r="J390" s="24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1.25" customHeight="1">
      <c r="A391" s="289"/>
      <c r="B391" s="289"/>
      <c r="C391" s="289"/>
      <c r="D391" s="289"/>
      <c r="E391" s="290"/>
      <c r="F391" s="289"/>
      <c r="H391" s="38"/>
      <c r="I391" s="23"/>
      <c r="J391" s="24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1.25" customHeight="1">
      <c r="A392" s="289"/>
      <c r="B392" s="289"/>
      <c r="C392" s="289"/>
      <c r="D392" s="289"/>
      <c r="E392" s="290"/>
      <c r="F392" s="289"/>
      <c r="H392" s="38"/>
      <c r="I392" s="23"/>
      <c r="J392" s="24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1.25" customHeight="1">
      <c r="A393" s="289"/>
      <c r="B393" s="289"/>
      <c r="C393" s="289"/>
      <c r="D393" s="289"/>
      <c r="E393" s="290"/>
      <c r="F393" s="289"/>
      <c r="H393" s="38"/>
      <c r="I393" s="23"/>
      <c r="J393" s="24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1.25" customHeight="1">
      <c r="A394" s="289"/>
      <c r="B394" s="289"/>
      <c r="C394" s="289"/>
      <c r="D394" s="289"/>
      <c r="E394" s="290"/>
      <c r="F394" s="289"/>
      <c r="H394" s="38"/>
      <c r="I394" s="23"/>
      <c r="J394" s="24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1.25" customHeight="1">
      <c r="A395" s="289"/>
      <c r="B395" s="289"/>
      <c r="C395" s="289"/>
      <c r="D395" s="289"/>
      <c r="E395" s="290"/>
      <c r="F395" s="289"/>
      <c r="H395" s="38"/>
      <c r="I395" s="23"/>
      <c r="J395" s="24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1.25" customHeight="1">
      <c r="A396" s="289"/>
      <c r="B396" s="289"/>
      <c r="C396" s="289"/>
      <c r="D396" s="289"/>
      <c r="E396" s="290"/>
      <c r="F396" s="289"/>
      <c r="H396" s="38"/>
      <c r="I396" s="23"/>
      <c r="J396" s="24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1.25" customHeight="1">
      <c r="A397" s="289"/>
      <c r="B397" s="289"/>
      <c r="C397" s="289"/>
      <c r="D397" s="289"/>
      <c r="E397" s="290"/>
      <c r="F397" s="289"/>
      <c r="H397" s="38"/>
      <c r="I397" s="23"/>
      <c r="J397" s="24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1.25" customHeight="1">
      <c r="A398" s="289"/>
      <c r="B398" s="289"/>
      <c r="C398" s="289"/>
      <c r="D398" s="289"/>
      <c r="E398" s="290"/>
      <c r="F398" s="289"/>
      <c r="H398" s="38"/>
      <c r="I398" s="23"/>
      <c r="J398" s="24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1.25" customHeight="1">
      <c r="A399" s="289"/>
      <c r="B399" s="289"/>
      <c r="C399" s="289"/>
      <c r="D399" s="289"/>
      <c r="E399" s="290"/>
      <c r="F399" s="289"/>
      <c r="H399" s="38"/>
      <c r="I399" s="23"/>
      <c r="J399" s="24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1.25" customHeight="1">
      <c r="A400" s="289"/>
      <c r="B400" s="289"/>
      <c r="C400" s="289"/>
      <c r="D400" s="289"/>
      <c r="E400" s="290"/>
      <c r="F400" s="289"/>
      <c r="H400" s="38"/>
      <c r="I400" s="23"/>
      <c r="J400" s="24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1.25" customHeight="1">
      <c r="A401" s="289"/>
      <c r="B401" s="289"/>
      <c r="C401" s="289"/>
      <c r="D401" s="289"/>
      <c r="E401" s="290"/>
      <c r="F401" s="289"/>
      <c r="H401" s="38"/>
      <c r="I401" s="23"/>
      <c r="J401" s="24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1.25" customHeight="1">
      <c r="A402" s="289"/>
      <c r="B402" s="289"/>
      <c r="C402" s="289"/>
      <c r="D402" s="289"/>
      <c r="E402" s="290"/>
      <c r="F402" s="289"/>
      <c r="H402" s="38"/>
      <c r="I402" s="23"/>
      <c r="J402" s="24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1.25" customHeight="1">
      <c r="A403" s="289"/>
      <c r="B403" s="289"/>
      <c r="C403" s="289"/>
      <c r="D403" s="289"/>
      <c r="E403" s="290"/>
      <c r="F403" s="289"/>
      <c r="H403" s="38"/>
      <c r="I403" s="23"/>
      <c r="J403" s="24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1.25" customHeight="1">
      <c r="A404" s="289"/>
      <c r="B404" s="289"/>
      <c r="C404" s="289"/>
      <c r="D404" s="289"/>
      <c r="E404" s="290"/>
      <c r="F404" s="289"/>
      <c r="H404" s="38"/>
      <c r="I404" s="23"/>
      <c r="J404" s="24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1.25" customHeight="1">
      <c r="A405" s="289"/>
      <c r="B405" s="289"/>
      <c r="C405" s="289"/>
      <c r="D405" s="289"/>
      <c r="E405" s="290"/>
      <c r="F405" s="289"/>
      <c r="H405" s="38"/>
      <c r="I405" s="23"/>
      <c r="J405" s="24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1.25" customHeight="1">
      <c r="A406" s="289"/>
      <c r="B406" s="289"/>
      <c r="C406" s="289"/>
      <c r="D406" s="289"/>
      <c r="E406" s="290"/>
      <c r="F406" s="289"/>
      <c r="H406" s="38"/>
      <c r="I406" s="23"/>
      <c r="J406" s="24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1.25" customHeight="1">
      <c r="A407" s="289"/>
      <c r="B407" s="289"/>
      <c r="C407" s="289"/>
      <c r="D407" s="289"/>
      <c r="E407" s="290"/>
      <c r="F407" s="289"/>
      <c r="H407" s="38"/>
      <c r="I407" s="23"/>
      <c r="J407" s="24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1.25" customHeight="1">
      <c r="A408" s="289"/>
      <c r="B408" s="289"/>
      <c r="C408" s="289"/>
      <c r="D408" s="289"/>
      <c r="E408" s="290"/>
      <c r="F408" s="289"/>
      <c r="H408" s="38"/>
      <c r="I408" s="23"/>
      <c r="J408" s="24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1.25" customHeight="1">
      <c r="A409" s="289"/>
      <c r="B409" s="289"/>
      <c r="C409" s="289"/>
      <c r="D409" s="289"/>
      <c r="E409" s="290"/>
      <c r="F409" s="289"/>
      <c r="H409" s="38"/>
      <c r="I409" s="23"/>
      <c r="J409" s="24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1.25" customHeight="1">
      <c r="A410" s="289"/>
      <c r="B410" s="289"/>
      <c r="C410" s="289"/>
      <c r="D410" s="289"/>
      <c r="E410" s="290"/>
      <c r="F410" s="289"/>
      <c r="H410" s="38"/>
      <c r="I410" s="23"/>
      <c r="J410" s="24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1.25" customHeight="1">
      <c r="A411" s="289"/>
      <c r="B411" s="289"/>
      <c r="C411" s="289"/>
      <c r="D411" s="289"/>
      <c r="E411" s="290"/>
      <c r="F411" s="289"/>
      <c r="H411" s="38"/>
      <c r="I411" s="23"/>
      <c r="J411" s="24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1.25" customHeight="1">
      <c r="A412" s="289"/>
      <c r="B412" s="289"/>
      <c r="C412" s="289"/>
      <c r="D412" s="289"/>
      <c r="E412" s="290"/>
      <c r="F412" s="289"/>
      <c r="H412" s="38"/>
      <c r="I412" s="23"/>
      <c r="J412" s="24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1.25" customHeight="1">
      <c r="A413" s="289"/>
      <c r="B413" s="289"/>
      <c r="C413" s="289"/>
      <c r="D413" s="289"/>
      <c r="E413" s="290"/>
      <c r="F413" s="289"/>
      <c r="H413" s="38"/>
      <c r="I413" s="23"/>
      <c r="J413" s="24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1.25" customHeight="1">
      <c r="A414" s="289"/>
      <c r="B414" s="289"/>
      <c r="C414" s="289"/>
      <c r="D414" s="289"/>
      <c r="E414" s="290"/>
      <c r="F414" s="289"/>
      <c r="H414" s="38"/>
      <c r="I414" s="23"/>
      <c r="J414" s="24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1.25" customHeight="1">
      <c r="A415" s="289"/>
      <c r="B415" s="289"/>
      <c r="C415" s="289"/>
      <c r="D415" s="289"/>
      <c r="E415" s="290"/>
      <c r="F415" s="289"/>
      <c r="H415" s="38"/>
      <c r="I415" s="23"/>
      <c r="J415" s="24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1.25" customHeight="1">
      <c r="A416" s="289"/>
      <c r="B416" s="289"/>
      <c r="C416" s="289"/>
      <c r="D416" s="289"/>
      <c r="E416" s="290"/>
      <c r="F416" s="289"/>
      <c r="H416" s="38"/>
      <c r="I416" s="23"/>
      <c r="J416" s="24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1.25" customHeight="1">
      <c r="A417" s="289"/>
      <c r="B417" s="289"/>
      <c r="C417" s="289"/>
      <c r="D417" s="289"/>
      <c r="E417" s="290"/>
      <c r="F417" s="289"/>
      <c r="H417" s="38"/>
      <c r="I417" s="23"/>
      <c r="J417" s="24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1.25" customHeight="1">
      <c r="A418" s="289"/>
      <c r="B418" s="289"/>
      <c r="C418" s="289"/>
      <c r="D418" s="289"/>
      <c r="E418" s="290"/>
      <c r="F418" s="289"/>
      <c r="H418" s="38"/>
      <c r="I418" s="23"/>
      <c r="J418" s="24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1.25" customHeight="1">
      <c r="A419" s="289"/>
      <c r="B419" s="289"/>
      <c r="C419" s="289"/>
      <c r="D419" s="289"/>
      <c r="E419" s="290"/>
      <c r="F419" s="289"/>
      <c r="H419" s="38"/>
      <c r="I419" s="23"/>
      <c r="J419" s="24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1.25" customHeight="1">
      <c r="A420" s="289"/>
      <c r="B420" s="289"/>
      <c r="C420" s="289"/>
      <c r="D420" s="289"/>
      <c r="E420" s="290"/>
      <c r="F420" s="289"/>
      <c r="H420" s="38"/>
      <c r="I420" s="23"/>
      <c r="J420" s="24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1.25" customHeight="1">
      <c r="A421" s="289"/>
      <c r="B421" s="289"/>
      <c r="C421" s="289"/>
      <c r="D421" s="289"/>
      <c r="E421" s="290"/>
      <c r="F421" s="289"/>
      <c r="H421" s="38"/>
      <c r="I421" s="23"/>
      <c r="J421" s="24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1.25" customHeight="1">
      <c r="A422" s="289"/>
      <c r="B422" s="289"/>
      <c r="C422" s="289"/>
      <c r="D422" s="289"/>
      <c r="E422" s="290"/>
      <c r="F422" s="289"/>
      <c r="H422" s="38"/>
      <c r="I422" s="23"/>
      <c r="J422" s="24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1.25" customHeight="1">
      <c r="A423" s="289"/>
      <c r="B423" s="289"/>
      <c r="C423" s="289"/>
      <c r="D423" s="289"/>
      <c r="E423" s="290"/>
      <c r="F423" s="289"/>
      <c r="H423" s="38"/>
      <c r="I423" s="23"/>
      <c r="J423" s="24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1.25" customHeight="1">
      <c r="A424" s="289"/>
      <c r="B424" s="289"/>
      <c r="C424" s="289"/>
      <c r="D424" s="289"/>
      <c r="E424" s="290"/>
      <c r="F424" s="289"/>
      <c r="H424" s="38"/>
      <c r="I424" s="23"/>
      <c r="J424" s="24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1.25" customHeight="1">
      <c r="A425" s="289"/>
      <c r="B425" s="289"/>
      <c r="C425" s="289"/>
      <c r="D425" s="289"/>
      <c r="E425" s="290"/>
      <c r="F425" s="289"/>
      <c r="H425" s="38"/>
      <c r="I425" s="23"/>
      <c r="J425" s="24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1.25" customHeight="1">
      <c r="A426" s="289"/>
      <c r="B426" s="289"/>
      <c r="C426" s="289"/>
      <c r="D426" s="289"/>
      <c r="E426" s="290"/>
      <c r="F426" s="289"/>
      <c r="H426" s="38"/>
      <c r="I426" s="23"/>
      <c r="J426" s="24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1.25" customHeight="1">
      <c r="A427" s="289"/>
      <c r="B427" s="289"/>
      <c r="C427" s="289"/>
      <c r="D427" s="289"/>
      <c r="E427" s="290"/>
      <c r="F427" s="289"/>
      <c r="H427" s="38"/>
      <c r="I427" s="23"/>
      <c r="J427" s="24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1.25" customHeight="1">
      <c r="A428" s="289"/>
      <c r="B428" s="289"/>
      <c r="C428" s="289"/>
      <c r="D428" s="289"/>
      <c r="E428" s="290"/>
      <c r="F428" s="289"/>
      <c r="H428" s="38"/>
      <c r="I428" s="23"/>
      <c r="J428" s="24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1.25" customHeight="1">
      <c r="A429" s="289"/>
      <c r="B429" s="289"/>
      <c r="C429" s="289"/>
      <c r="D429" s="289"/>
      <c r="E429" s="290"/>
      <c r="F429" s="289"/>
      <c r="H429" s="38"/>
      <c r="I429" s="23"/>
      <c r="J429" s="24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1.25" customHeight="1">
      <c r="A430" s="289"/>
      <c r="B430" s="289"/>
      <c r="C430" s="289"/>
      <c r="D430" s="289"/>
      <c r="E430" s="290"/>
      <c r="F430" s="289"/>
      <c r="H430" s="38"/>
      <c r="I430" s="23"/>
      <c r="J430" s="24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1.25" customHeight="1">
      <c r="A431" s="289"/>
      <c r="B431" s="289"/>
      <c r="C431" s="289"/>
      <c r="D431" s="289"/>
      <c r="E431" s="290"/>
      <c r="F431" s="289"/>
      <c r="H431" s="38"/>
      <c r="I431" s="23"/>
      <c r="J431" s="24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1.25" customHeight="1">
      <c r="A432" s="289"/>
      <c r="B432" s="289"/>
      <c r="C432" s="289"/>
      <c r="D432" s="289"/>
      <c r="E432" s="290"/>
      <c r="F432" s="289"/>
      <c r="H432" s="38"/>
      <c r="I432" s="23"/>
      <c r="J432" s="24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1.25" customHeight="1">
      <c r="A433" s="289"/>
      <c r="B433" s="289"/>
      <c r="C433" s="289"/>
      <c r="D433" s="289"/>
      <c r="E433" s="290"/>
      <c r="F433" s="289"/>
      <c r="H433" s="38"/>
      <c r="I433" s="23"/>
      <c r="J433" s="24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1.25" customHeight="1">
      <c r="A434" s="289"/>
      <c r="B434" s="289"/>
      <c r="C434" s="289"/>
      <c r="D434" s="289"/>
      <c r="E434" s="290"/>
      <c r="F434" s="289"/>
      <c r="H434" s="38"/>
      <c r="I434" s="23"/>
      <c r="J434" s="24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1.25" customHeight="1">
      <c r="A435" s="289"/>
      <c r="B435" s="289"/>
      <c r="C435" s="289"/>
      <c r="D435" s="289"/>
      <c r="E435" s="290"/>
      <c r="F435" s="289"/>
      <c r="H435" s="38"/>
      <c r="I435" s="23"/>
      <c r="J435" s="24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1.25" customHeight="1">
      <c r="A436" s="289"/>
      <c r="B436" s="289"/>
      <c r="C436" s="289"/>
      <c r="D436" s="289"/>
      <c r="E436" s="290"/>
      <c r="F436" s="289"/>
      <c r="H436" s="38"/>
      <c r="I436" s="23"/>
      <c r="J436" s="24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1.25" customHeight="1">
      <c r="A437" s="289"/>
      <c r="B437" s="289"/>
      <c r="C437" s="289"/>
      <c r="D437" s="289"/>
      <c r="E437" s="290"/>
      <c r="F437" s="289"/>
      <c r="H437" s="38"/>
      <c r="I437" s="23"/>
      <c r="J437" s="24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1.25" customHeight="1">
      <c r="A438" s="289"/>
      <c r="B438" s="289"/>
      <c r="C438" s="289"/>
      <c r="D438" s="289"/>
      <c r="E438" s="290"/>
      <c r="F438" s="289"/>
      <c r="H438" s="38"/>
      <c r="I438" s="23"/>
      <c r="J438" s="24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1.25" customHeight="1">
      <c r="A439" s="289"/>
      <c r="B439" s="289"/>
      <c r="C439" s="289"/>
      <c r="D439" s="289"/>
      <c r="E439" s="290"/>
      <c r="F439" s="289"/>
      <c r="H439" s="38"/>
      <c r="I439" s="23"/>
      <c r="J439" s="24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1.25" customHeight="1">
      <c r="A440" s="289"/>
      <c r="B440" s="289"/>
      <c r="C440" s="289"/>
      <c r="D440" s="289"/>
      <c r="E440" s="290"/>
      <c r="F440" s="289"/>
      <c r="H440" s="38"/>
      <c r="I440" s="23"/>
      <c r="J440" s="24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1.25" customHeight="1">
      <c r="A441" s="289"/>
      <c r="B441" s="289"/>
      <c r="C441" s="289"/>
      <c r="D441" s="289"/>
      <c r="E441" s="290"/>
      <c r="F441" s="289"/>
      <c r="H441" s="38"/>
      <c r="I441" s="23"/>
      <c r="J441" s="24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1.25" customHeight="1">
      <c r="A442" s="289"/>
      <c r="B442" s="289"/>
      <c r="C442" s="289"/>
      <c r="D442" s="289"/>
      <c r="E442" s="290"/>
      <c r="F442" s="289"/>
      <c r="H442" s="38"/>
      <c r="I442" s="23"/>
      <c r="J442" s="24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1.25" customHeight="1">
      <c r="A443" s="289"/>
      <c r="B443" s="289"/>
      <c r="C443" s="289"/>
      <c r="D443" s="289"/>
      <c r="E443" s="290"/>
      <c r="F443" s="289"/>
      <c r="H443" s="38"/>
      <c r="I443" s="23"/>
      <c r="J443" s="24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1.25" customHeight="1">
      <c r="A444" s="289"/>
      <c r="B444" s="289"/>
      <c r="C444" s="289"/>
      <c r="D444" s="289"/>
      <c r="E444" s="290"/>
      <c r="F444" s="289"/>
      <c r="H444" s="38"/>
      <c r="I444" s="23"/>
      <c r="J444" s="24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1.25" customHeight="1">
      <c r="A445" s="289"/>
      <c r="B445" s="289"/>
      <c r="C445" s="289"/>
      <c r="D445" s="289"/>
      <c r="E445" s="290"/>
      <c r="F445" s="289"/>
      <c r="H445" s="38"/>
      <c r="I445" s="23"/>
      <c r="J445" s="24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1.25" customHeight="1">
      <c r="A446" s="289"/>
      <c r="B446" s="289"/>
      <c r="C446" s="289"/>
      <c r="D446" s="289"/>
      <c r="E446" s="290"/>
      <c r="F446" s="289"/>
      <c r="H446" s="38"/>
      <c r="I446" s="23"/>
      <c r="J446" s="24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1.25" customHeight="1">
      <c r="A447" s="289"/>
      <c r="B447" s="289"/>
      <c r="C447" s="289"/>
      <c r="D447" s="289"/>
      <c r="E447" s="290"/>
      <c r="F447" s="289"/>
      <c r="H447" s="38"/>
      <c r="I447" s="23"/>
      <c r="J447" s="24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1.25" customHeight="1">
      <c r="A448" s="289"/>
      <c r="B448" s="289"/>
      <c r="C448" s="289"/>
      <c r="D448" s="289"/>
      <c r="E448" s="290"/>
      <c r="F448" s="289"/>
      <c r="H448" s="38"/>
      <c r="I448" s="23"/>
      <c r="J448" s="24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1.25" customHeight="1">
      <c r="A449" s="289"/>
      <c r="B449" s="289"/>
      <c r="C449" s="289"/>
      <c r="D449" s="289"/>
      <c r="E449" s="290"/>
      <c r="F449" s="289"/>
      <c r="H449" s="38"/>
      <c r="I449" s="23"/>
      <c r="J449" s="24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1.25" customHeight="1">
      <c r="A450" s="289"/>
      <c r="B450" s="289"/>
      <c r="C450" s="289"/>
      <c r="D450" s="289"/>
      <c r="E450" s="290"/>
      <c r="F450" s="289"/>
      <c r="H450" s="38"/>
      <c r="I450" s="23"/>
      <c r="J450" s="24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1.25" customHeight="1">
      <c r="A451" s="289"/>
      <c r="B451" s="289"/>
      <c r="C451" s="289"/>
      <c r="D451" s="289"/>
      <c r="E451" s="290"/>
      <c r="F451" s="289"/>
      <c r="H451" s="38"/>
      <c r="I451" s="23"/>
      <c r="J451" s="24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1.25" customHeight="1">
      <c r="A452" s="289"/>
      <c r="B452" s="289"/>
      <c r="C452" s="289"/>
      <c r="D452" s="289"/>
      <c r="E452" s="290"/>
      <c r="F452" s="289"/>
      <c r="H452" s="38"/>
      <c r="I452" s="23"/>
      <c r="J452" s="24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1.25" customHeight="1">
      <c r="A453" s="289"/>
      <c r="B453" s="289"/>
      <c r="C453" s="289"/>
      <c r="D453" s="289"/>
      <c r="E453" s="290"/>
      <c r="F453" s="289"/>
      <c r="H453" s="38"/>
      <c r="I453" s="23"/>
      <c r="J453" s="24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1.25" customHeight="1">
      <c r="A454" s="289"/>
      <c r="B454" s="289"/>
      <c r="C454" s="289"/>
      <c r="D454" s="289"/>
      <c r="E454" s="290"/>
      <c r="F454" s="289"/>
      <c r="H454" s="38"/>
      <c r="I454" s="23"/>
      <c r="J454" s="24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1.25" customHeight="1">
      <c r="A455" s="289"/>
      <c r="B455" s="289"/>
      <c r="C455" s="289"/>
      <c r="D455" s="289"/>
      <c r="E455" s="290"/>
      <c r="F455" s="289"/>
      <c r="H455" s="38"/>
      <c r="I455" s="23"/>
      <c r="J455" s="24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1.25" customHeight="1">
      <c r="A456" s="289"/>
      <c r="B456" s="289"/>
      <c r="C456" s="289"/>
      <c r="D456" s="289"/>
      <c r="E456" s="290"/>
      <c r="F456" s="289"/>
      <c r="H456" s="38"/>
      <c r="I456" s="23"/>
      <c r="J456" s="24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1.25" customHeight="1">
      <c r="A457" s="289"/>
      <c r="B457" s="289"/>
      <c r="C457" s="289"/>
      <c r="D457" s="289"/>
      <c r="E457" s="290"/>
      <c r="F457" s="289"/>
      <c r="H457" s="38"/>
      <c r="I457" s="23"/>
      <c r="J457" s="24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1.25" customHeight="1">
      <c r="A458" s="289"/>
      <c r="B458" s="289"/>
      <c r="C458" s="289"/>
      <c r="D458" s="289"/>
      <c r="E458" s="290"/>
      <c r="F458" s="289"/>
      <c r="H458" s="38"/>
      <c r="I458" s="23"/>
      <c r="J458" s="24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1.25" customHeight="1">
      <c r="A459" s="289"/>
      <c r="B459" s="289"/>
      <c r="C459" s="289"/>
      <c r="D459" s="289"/>
      <c r="E459" s="290"/>
      <c r="F459" s="289"/>
      <c r="H459" s="38"/>
      <c r="I459" s="23"/>
      <c r="J459" s="24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1.25" customHeight="1">
      <c r="A460" s="289"/>
      <c r="B460" s="289"/>
      <c r="C460" s="289"/>
      <c r="D460" s="289"/>
      <c r="E460" s="290"/>
      <c r="F460" s="289"/>
      <c r="H460" s="38"/>
      <c r="I460" s="23"/>
      <c r="J460" s="24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1.25" customHeight="1">
      <c r="A461" s="289"/>
      <c r="B461" s="289"/>
      <c r="C461" s="289"/>
      <c r="D461" s="289"/>
      <c r="E461" s="290"/>
      <c r="F461" s="289"/>
      <c r="H461" s="38"/>
      <c r="I461" s="23"/>
      <c r="J461" s="24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1.25" customHeight="1">
      <c r="A462" s="289"/>
      <c r="B462" s="289"/>
      <c r="C462" s="289"/>
      <c r="D462" s="289"/>
      <c r="E462" s="290"/>
      <c r="F462" s="289"/>
      <c r="H462" s="38"/>
      <c r="I462" s="23"/>
      <c r="J462" s="24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1.25" customHeight="1">
      <c r="A463" s="289"/>
      <c r="B463" s="289"/>
      <c r="C463" s="289"/>
      <c r="D463" s="289"/>
      <c r="E463" s="290"/>
      <c r="F463" s="289"/>
      <c r="H463" s="38"/>
      <c r="I463" s="23"/>
      <c r="J463" s="24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1.25" customHeight="1">
      <c r="A464" s="289"/>
      <c r="B464" s="289"/>
      <c r="C464" s="289"/>
      <c r="D464" s="289"/>
      <c r="E464" s="290"/>
      <c r="F464" s="289"/>
      <c r="H464" s="38"/>
      <c r="I464" s="23"/>
      <c r="J464" s="24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1.25" customHeight="1">
      <c r="A465" s="289"/>
      <c r="B465" s="289"/>
      <c r="C465" s="289"/>
      <c r="D465" s="289"/>
      <c r="E465" s="290"/>
      <c r="F465" s="289"/>
      <c r="H465" s="38"/>
      <c r="I465" s="23"/>
      <c r="J465" s="24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1.25" customHeight="1">
      <c r="A466" s="289"/>
      <c r="B466" s="289"/>
      <c r="C466" s="289"/>
      <c r="D466" s="289"/>
      <c r="E466" s="290"/>
      <c r="F466" s="289"/>
      <c r="H466" s="38"/>
      <c r="I466" s="23"/>
      <c r="J466" s="24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1.25" customHeight="1">
      <c r="A467" s="289"/>
      <c r="B467" s="289"/>
      <c r="C467" s="289"/>
      <c r="D467" s="289"/>
      <c r="E467" s="290"/>
      <c r="F467" s="289"/>
      <c r="H467" s="38"/>
      <c r="I467" s="23"/>
      <c r="J467" s="24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1.25" customHeight="1">
      <c r="A468" s="289"/>
      <c r="B468" s="289"/>
      <c r="C468" s="289"/>
      <c r="D468" s="289"/>
      <c r="E468" s="290"/>
      <c r="F468" s="289"/>
      <c r="H468" s="38"/>
      <c r="I468" s="23"/>
      <c r="J468" s="24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1.25" customHeight="1">
      <c r="A469" s="289"/>
      <c r="B469" s="289"/>
      <c r="C469" s="289"/>
      <c r="D469" s="289"/>
      <c r="E469" s="290"/>
      <c r="F469" s="289"/>
      <c r="H469" s="38"/>
      <c r="I469" s="23"/>
      <c r="J469" s="24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1.25" customHeight="1">
      <c r="A470" s="289"/>
      <c r="B470" s="289"/>
      <c r="C470" s="289"/>
      <c r="D470" s="289"/>
      <c r="E470" s="290"/>
      <c r="F470" s="289"/>
      <c r="H470" s="38"/>
      <c r="I470" s="23"/>
      <c r="J470" s="24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1.25" customHeight="1">
      <c r="A471" s="289"/>
      <c r="B471" s="289"/>
      <c r="C471" s="289"/>
      <c r="D471" s="289"/>
      <c r="E471" s="290"/>
      <c r="F471" s="289"/>
      <c r="H471" s="38"/>
      <c r="I471" s="23"/>
      <c r="J471" s="24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1.25" customHeight="1">
      <c r="A472" s="289"/>
      <c r="B472" s="289"/>
      <c r="C472" s="289"/>
      <c r="D472" s="289"/>
      <c r="E472" s="290"/>
      <c r="F472" s="289"/>
      <c r="H472" s="38"/>
      <c r="I472" s="23"/>
      <c r="J472" s="24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1.25" customHeight="1">
      <c r="A473" s="289"/>
      <c r="B473" s="289"/>
      <c r="C473" s="289"/>
      <c r="D473" s="289"/>
      <c r="E473" s="290"/>
      <c r="F473" s="289"/>
      <c r="H473" s="38"/>
      <c r="I473" s="23"/>
      <c r="J473" s="24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1.25" customHeight="1">
      <c r="A474" s="289"/>
      <c r="B474" s="289"/>
      <c r="C474" s="289"/>
      <c r="D474" s="289"/>
      <c r="E474" s="290"/>
      <c r="F474" s="289"/>
      <c r="H474" s="38"/>
      <c r="I474" s="23"/>
      <c r="J474" s="24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1.25" customHeight="1">
      <c r="A475" s="289"/>
      <c r="B475" s="289"/>
      <c r="C475" s="289"/>
      <c r="D475" s="289"/>
      <c r="E475" s="290"/>
      <c r="F475" s="289"/>
      <c r="H475" s="38"/>
      <c r="I475" s="23"/>
      <c r="J475" s="24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1.25" customHeight="1">
      <c r="A476" s="289"/>
      <c r="B476" s="289"/>
      <c r="C476" s="289"/>
      <c r="D476" s="289"/>
      <c r="E476" s="290"/>
      <c r="F476" s="289"/>
      <c r="H476" s="38"/>
      <c r="I476" s="23"/>
      <c r="J476" s="24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1.25" customHeight="1">
      <c r="A477" s="289"/>
      <c r="B477" s="289"/>
      <c r="C477" s="289"/>
      <c r="D477" s="289"/>
      <c r="E477" s="290"/>
      <c r="F477" s="289"/>
      <c r="H477" s="38"/>
      <c r="I477" s="23"/>
      <c r="J477" s="24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1.25" customHeight="1">
      <c r="A478" s="289"/>
      <c r="B478" s="289"/>
      <c r="C478" s="289"/>
      <c r="D478" s="289"/>
      <c r="E478" s="290"/>
      <c r="F478" s="289"/>
      <c r="H478" s="38"/>
      <c r="I478" s="23"/>
      <c r="J478" s="24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1.25" customHeight="1">
      <c r="A479" s="289"/>
      <c r="B479" s="289"/>
      <c r="C479" s="289"/>
      <c r="D479" s="289"/>
      <c r="E479" s="290"/>
      <c r="F479" s="289"/>
      <c r="H479" s="38"/>
      <c r="I479" s="23"/>
      <c r="J479" s="24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1.25" customHeight="1">
      <c r="A480" s="289"/>
      <c r="B480" s="289"/>
      <c r="C480" s="289"/>
      <c r="D480" s="289"/>
      <c r="E480" s="290"/>
      <c r="F480" s="289"/>
      <c r="H480" s="38"/>
      <c r="I480" s="23"/>
      <c r="J480" s="24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1.25" customHeight="1">
      <c r="A481" s="289"/>
      <c r="B481" s="289"/>
      <c r="C481" s="289"/>
      <c r="D481" s="289"/>
      <c r="E481" s="290"/>
      <c r="F481" s="289"/>
      <c r="H481" s="38"/>
      <c r="I481" s="23"/>
      <c r="J481" s="24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1.25" customHeight="1">
      <c r="A482" s="289"/>
      <c r="B482" s="289"/>
      <c r="C482" s="289"/>
      <c r="D482" s="289"/>
      <c r="E482" s="290"/>
      <c r="F482" s="289"/>
      <c r="H482" s="38"/>
      <c r="I482" s="23"/>
      <c r="J482" s="24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1.25" customHeight="1">
      <c r="A483" s="289"/>
      <c r="B483" s="289"/>
      <c r="C483" s="289"/>
      <c r="D483" s="289"/>
      <c r="E483" s="290"/>
      <c r="F483" s="289"/>
      <c r="H483" s="38"/>
      <c r="I483" s="23"/>
      <c r="J483" s="24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1.25" customHeight="1">
      <c r="A484" s="289"/>
      <c r="B484" s="289"/>
      <c r="C484" s="289"/>
      <c r="D484" s="289"/>
      <c r="E484" s="290"/>
      <c r="F484" s="289"/>
      <c r="H484" s="38"/>
      <c r="I484" s="23"/>
      <c r="J484" s="24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1.25" customHeight="1">
      <c r="A485" s="289"/>
      <c r="B485" s="289"/>
      <c r="C485" s="289"/>
      <c r="D485" s="289"/>
      <c r="E485" s="290"/>
      <c r="F485" s="289"/>
      <c r="H485" s="38"/>
      <c r="I485" s="23"/>
      <c r="J485" s="24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1.25" customHeight="1">
      <c r="A486" s="289"/>
      <c r="B486" s="289"/>
      <c r="C486" s="289"/>
      <c r="D486" s="289"/>
      <c r="E486" s="290"/>
      <c r="F486" s="289"/>
      <c r="H486" s="38"/>
      <c r="I486" s="23"/>
      <c r="J486" s="24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1.25" customHeight="1">
      <c r="A487" s="289"/>
      <c r="B487" s="289"/>
      <c r="C487" s="289"/>
      <c r="D487" s="289"/>
      <c r="E487" s="290"/>
      <c r="F487" s="289"/>
      <c r="H487" s="38"/>
      <c r="I487" s="23"/>
      <c r="J487" s="24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1.25" customHeight="1">
      <c r="A488" s="289"/>
      <c r="B488" s="289"/>
      <c r="C488" s="289"/>
      <c r="D488" s="289"/>
      <c r="E488" s="290"/>
      <c r="F488" s="289"/>
      <c r="H488" s="38"/>
      <c r="I488" s="23"/>
      <c r="J488" s="24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1.25" customHeight="1">
      <c r="A489" s="289"/>
      <c r="B489" s="289"/>
      <c r="C489" s="289"/>
      <c r="D489" s="289"/>
      <c r="E489" s="290"/>
      <c r="F489" s="289"/>
      <c r="H489" s="38"/>
      <c r="I489" s="23"/>
      <c r="J489" s="24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1.25" customHeight="1">
      <c r="A490" s="289"/>
      <c r="B490" s="289"/>
      <c r="C490" s="289"/>
      <c r="D490" s="289"/>
      <c r="E490" s="290"/>
      <c r="F490" s="289"/>
      <c r="H490" s="38"/>
      <c r="I490" s="23"/>
      <c r="J490" s="24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1.25" customHeight="1">
      <c r="A491" s="289"/>
      <c r="B491" s="289"/>
      <c r="C491" s="289"/>
      <c r="D491" s="289"/>
      <c r="E491" s="290"/>
      <c r="F491" s="289"/>
      <c r="H491" s="38"/>
      <c r="I491" s="23"/>
      <c r="J491" s="24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1.25" customHeight="1">
      <c r="A492" s="289"/>
      <c r="B492" s="289"/>
      <c r="C492" s="289"/>
      <c r="D492" s="289"/>
      <c r="E492" s="290"/>
      <c r="F492" s="289"/>
      <c r="H492" s="38"/>
      <c r="I492" s="23"/>
      <c r="J492" s="24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1.25" customHeight="1">
      <c r="A493" s="289"/>
      <c r="B493" s="289"/>
      <c r="C493" s="289"/>
      <c r="D493" s="289"/>
      <c r="E493" s="290"/>
      <c r="F493" s="289"/>
      <c r="H493" s="38"/>
      <c r="I493" s="23"/>
      <c r="J493" s="24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1.25" customHeight="1">
      <c r="A494" s="289"/>
      <c r="B494" s="289"/>
      <c r="C494" s="289"/>
      <c r="D494" s="289"/>
      <c r="E494" s="290"/>
      <c r="F494" s="289"/>
      <c r="H494" s="38"/>
      <c r="I494" s="23"/>
      <c r="J494" s="24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1.25" customHeight="1">
      <c r="A495" s="289"/>
      <c r="B495" s="289"/>
      <c r="C495" s="289"/>
      <c r="D495" s="289"/>
      <c r="E495" s="290"/>
      <c r="F495" s="289"/>
      <c r="H495" s="38"/>
      <c r="I495" s="23"/>
      <c r="J495" s="24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1.25" customHeight="1">
      <c r="A496" s="289"/>
      <c r="B496" s="289"/>
      <c r="C496" s="289"/>
      <c r="D496" s="289"/>
      <c r="E496" s="290"/>
      <c r="F496" s="289"/>
      <c r="H496" s="38"/>
      <c r="I496" s="23"/>
      <c r="J496" s="24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1.25" customHeight="1">
      <c r="A497" s="289"/>
      <c r="B497" s="289"/>
      <c r="C497" s="289"/>
      <c r="D497" s="289"/>
      <c r="E497" s="290"/>
      <c r="F497" s="289"/>
      <c r="H497" s="38"/>
      <c r="I497" s="23"/>
      <c r="J497" s="24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1.25" customHeight="1">
      <c r="A498" s="289"/>
      <c r="B498" s="289"/>
      <c r="C498" s="289"/>
      <c r="D498" s="289"/>
      <c r="E498" s="290"/>
      <c r="F498" s="289"/>
      <c r="H498" s="38"/>
      <c r="I498" s="23"/>
      <c r="J498" s="24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1.25" customHeight="1">
      <c r="A499" s="289"/>
      <c r="B499" s="289"/>
      <c r="C499" s="289"/>
      <c r="D499" s="289"/>
      <c r="E499" s="290"/>
      <c r="F499" s="289"/>
      <c r="H499" s="38"/>
      <c r="I499" s="23"/>
      <c r="J499" s="24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1.25" customHeight="1">
      <c r="A500" s="289"/>
      <c r="B500" s="289"/>
      <c r="C500" s="289"/>
      <c r="D500" s="289"/>
      <c r="E500" s="290"/>
      <c r="F500" s="289"/>
      <c r="H500" s="38"/>
      <c r="I500" s="23"/>
      <c r="J500" s="24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1.25" customHeight="1">
      <c r="A501" s="289"/>
      <c r="B501" s="289"/>
      <c r="C501" s="289"/>
      <c r="D501" s="289"/>
      <c r="E501" s="290"/>
      <c r="F501" s="289"/>
      <c r="H501" s="38"/>
      <c r="I501" s="23"/>
      <c r="J501" s="24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1.25" customHeight="1">
      <c r="A502" s="289"/>
      <c r="B502" s="289"/>
      <c r="C502" s="289"/>
      <c r="D502" s="289"/>
      <c r="E502" s="290"/>
      <c r="F502" s="289"/>
      <c r="H502" s="38"/>
      <c r="I502" s="23"/>
      <c r="J502" s="24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1.25" customHeight="1">
      <c r="A503" s="289"/>
      <c r="B503" s="289"/>
      <c r="C503" s="289"/>
      <c r="D503" s="289"/>
      <c r="E503" s="290"/>
      <c r="F503" s="289"/>
      <c r="H503" s="38"/>
      <c r="I503" s="23"/>
      <c r="J503" s="24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1.25" customHeight="1">
      <c r="A504" s="289"/>
      <c r="B504" s="289"/>
      <c r="C504" s="289"/>
      <c r="D504" s="289"/>
      <c r="E504" s="290"/>
      <c r="F504" s="289"/>
      <c r="H504" s="38"/>
      <c r="I504" s="23"/>
      <c r="J504" s="24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1.25" customHeight="1">
      <c r="A505" s="289"/>
      <c r="B505" s="289"/>
      <c r="C505" s="289"/>
      <c r="D505" s="289"/>
      <c r="E505" s="290"/>
      <c r="F505" s="289"/>
      <c r="H505" s="38"/>
      <c r="I505" s="23"/>
      <c r="J505" s="24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1.25" customHeight="1">
      <c r="A506" s="289"/>
      <c r="B506" s="289"/>
      <c r="C506" s="289"/>
      <c r="D506" s="289"/>
      <c r="E506" s="290"/>
      <c r="F506" s="289"/>
      <c r="H506" s="38"/>
      <c r="I506" s="23"/>
      <c r="J506" s="24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1.25" customHeight="1">
      <c r="A507" s="289"/>
      <c r="B507" s="289"/>
      <c r="C507" s="289"/>
      <c r="D507" s="289"/>
      <c r="E507" s="290"/>
      <c r="F507" s="289"/>
      <c r="H507" s="38"/>
      <c r="I507" s="23"/>
      <c r="J507" s="24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1.25" customHeight="1">
      <c r="A508" s="289"/>
      <c r="B508" s="289"/>
      <c r="C508" s="289"/>
      <c r="D508" s="289"/>
      <c r="E508" s="290"/>
      <c r="F508" s="289"/>
      <c r="H508" s="38"/>
      <c r="I508" s="23"/>
      <c r="J508" s="24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1.25" customHeight="1">
      <c r="A509" s="289"/>
      <c r="B509" s="289"/>
      <c r="C509" s="289"/>
      <c r="D509" s="289"/>
      <c r="E509" s="290"/>
      <c r="F509" s="289"/>
      <c r="H509" s="38"/>
      <c r="I509" s="23"/>
      <c r="J509" s="24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1.25" customHeight="1">
      <c r="A510" s="289"/>
      <c r="B510" s="289"/>
      <c r="C510" s="289"/>
      <c r="D510" s="289"/>
      <c r="E510" s="290"/>
      <c r="F510" s="289"/>
      <c r="H510" s="38"/>
      <c r="I510" s="23"/>
      <c r="J510" s="24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1.25" customHeight="1">
      <c r="A511" s="289"/>
      <c r="B511" s="289"/>
      <c r="C511" s="289"/>
      <c r="D511" s="289"/>
      <c r="E511" s="290"/>
      <c r="F511" s="289"/>
      <c r="H511" s="38"/>
      <c r="I511" s="23"/>
      <c r="J511" s="24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1.25" customHeight="1">
      <c r="A512" s="289"/>
      <c r="B512" s="289"/>
      <c r="C512" s="289"/>
      <c r="D512" s="289"/>
      <c r="E512" s="290"/>
      <c r="F512" s="289"/>
      <c r="H512" s="38"/>
      <c r="I512" s="23"/>
      <c r="J512" s="24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1.25" customHeight="1">
      <c r="A513" s="289"/>
      <c r="B513" s="289"/>
      <c r="C513" s="289"/>
      <c r="D513" s="289"/>
      <c r="E513" s="290"/>
      <c r="F513" s="289"/>
      <c r="H513" s="38"/>
      <c r="I513" s="23"/>
      <c r="J513" s="24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1.25" customHeight="1">
      <c r="A514" s="289"/>
      <c r="B514" s="289"/>
      <c r="C514" s="289"/>
      <c r="D514" s="289"/>
      <c r="E514" s="290"/>
      <c r="F514" s="289"/>
      <c r="H514" s="38"/>
      <c r="I514" s="23"/>
      <c r="J514" s="24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1.25" customHeight="1">
      <c r="A515" s="289"/>
      <c r="B515" s="289"/>
      <c r="C515" s="289"/>
      <c r="D515" s="289"/>
      <c r="E515" s="290"/>
      <c r="F515" s="289"/>
      <c r="H515" s="38"/>
      <c r="I515" s="23"/>
      <c r="J515" s="24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1.25" customHeight="1">
      <c r="A516" s="289"/>
      <c r="B516" s="289"/>
      <c r="C516" s="289"/>
      <c r="D516" s="289"/>
      <c r="E516" s="290"/>
      <c r="F516" s="289"/>
      <c r="H516" s="38"/>
      <c r="I516" s="23"/>
      <c r="J516" s="24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1.25" customHeight="1">
      <c r="A517" s="289"/>
      <c r="B517" s="289"/>
      <c r="C517" s="289"/>
      <c r="D517" s="289"/>
      <c r="E517" s="290"/>
      <c r="F517" s="289"/>
      <c r="H517" s="38"/>
      <c r="I517" s="23"/>
      <c r="J517" s="24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1.25" customHeight="1">
      <c r="A518" s="289"/>
      <c r="B518" s="289"/>
      <c r="C518" s="289"/>
      <c r="D518" s="289"/>
      <c r="E518" s="290"/>
      <c r="F518" s="289"/>
      <c r="H518" s="38"/>
      <c r="I518" s="23"/>
      <c r="J518" s="24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1.25" customHeight="1">
      <c r="A519" s="289"/>
      <c r="B519" s="289"/>
      <c r="C519" s="289"/>
      <c r="D519" s="289"/>
      <c r="E519" s="290"/>
      <c r="F519" s="289"/>
      <c r="H519" s="38"/>
      <c r="I519" s="23"/>
      <c r="J519" s="24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1.25" customHeight="1">
      <c r="A520" s="289"/>
      <c r="B520" s="289"/>
      <c r="C520" s="289"/>
      <c r="D520" s="289"/>
      <c r="E520" s="290"/>
      <c r="F520" s="289"/>
      <c r="H520" s="38"/>
      <c r="I520" s="23"/>
      <c r="J520" s="24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1.25" customHeight="1">
      <c r="A521" s="289"/>
      <c r="B521" s="289"/>
      <c r="C521" s="289"/>
      <c r="D521" s="289"/>
      <c r="E521" s="290"/>
      <c r="F521" s="289"/>
      <c r="H521" s="38"/>
      <c r="I521" s="23"/>
      <c r="J521" s="24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1.25" customHeight="1">
      <c r="A522" s="289"/>
      <c r="B522" s="289"/>
      <c r="C522" s="289"/>
      <c r="D522" s="289"/>
      <c r="E522" s="290"/>
      <c r="F522" s="289"/>
      <c r="H522" s="38"/>
      <c r="I522" s="23"/>
      <c r="J522" s="24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1.25" customHeight="1">
      <c r="A523" s="289"/>
      <c r="B523" s="289"/>
      <c r="C523" s="289"/>
      <c r="D523" s="289"/>
      <c r="E523" s="290"/>
      <c r="F523" s="289"/>
      <c r="H523" s="38"/>
      <c r="I523" s="23"/>
      <c r="J523" s="24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1.25" customHeight="1">
      <c r="A524" s="289"/>
      <c r="B524" s="289"/>
      <c r="C524" s="289"/>
      <c r="D524" s="289"/>
      <c r="E524" s="290"/>
      <c r="F524" s="289"/>
      <c r="H524" s="38"/>
      <c r="I524" s="23"/>
      <c r="J524" s="24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1.25" customHeight="1">
      <c r="A525" s="289"/>
      <c r="B525" s="289"/>
      <c r="C525" s="289"/>
      <c r="D525" s="289"/>
      <c r="E525" s="290"/>
      <c r="F525" s="289"/>
      <c r="H525" s="38"/>
      <c r="I525" s="23"/>
      <c r="J525" s="24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1.25" customHeight="1">
      <c r="A526" s="289"/>
      <c r="B526" s="289"/>
      <c r="C526" s="289"/>
      <c r="D526" s="289"/>
      <c r="E526" s="290"/>
      <c r="F526" s="289"/>
      <c r="H526" s="38"/>
      <c r="I526" s="23"/>
      <c r="J526" s="24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1.25" customHeight="1">
      <c r="A527" s="289"/>
      <c r="B527" s="289"/>
      <c r="C527" s="289"/>
      <c r="D527" s="289"/>
      <c r="E527" s="290"/>
      <c r="F527" s="289"/>
      <c r="H527" s="38"/>
      <c r="I527" s="23"/>
      <c r="J527" s="24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1.25" customHeight="1">
      <c r="A528" s="289"/>
      <c r="B528" s="289"/>
      <c r="C528" s="289"/>
      <c r="D528" s="289"/>
      <c r="E528" s="290"/>
      <c r="F528" s="289"/>
      <c r="H528" s="38"/>
      <c r="I528" s="23"/>
      <c r="J528" s="24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1.25" customHeight="1">
      <c r="A529" s="289"/>
      <c r="B529" s="289"/>
      <c r="C529" s="289"/>
      <c r="D529" s="289"/>
      <c r="E529" s="290"/>
      <c r="F529" s="289"/>
      <c r="H529" s="38"/>
      <c r="I529" s="23"/>
      <c r="J529" s="24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1.25" customHeight="1">
      <c r="A530" s="289"/>
      <c r="B530" s="289"/>
      <c r="C530" s="289"/>
      <c r="D530" s="289"/>
      <c r="E530" s="290"/>
      <c r="F530" s="289"/>
      <c r="H530" s="38"/>
      <c r="I530" s="23"/>
      <c r="J530" s="24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1.25" customHeight="1">
      <c r="A531" s="289"/>
      <c r="B531" s="289"/>
      <c r="C531" s="289"/>
      <c r="D531" s="289"/>
      <c r="E531" s="290"/>
      <c r="F531" s="289"/>
      <c r="H531" s="38"/>
      <c r="I531" s="23"/>
      <c r="J531" s="24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1.25" customHeight="1">
      <c r="A532" s="289"/>
      <c r="B532" s="289"/>
      <c r="C532" s="289"/>
      <c r="D532" s="289"/>
      <c r="E532" s="290"/>
      <c r="F532" s="289"/>
      <c r="H532" s="38"/>
      <c r="I532" s="23"/>
      <c r="J532" s="24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1.25" customHeight="1">
      <c r="A533" s="289"/>
      <c r="B533" s="289"/>
      <c r="C533" s="289"/>
      <c r="D533" s="289"/>
      <c r="E533" s="290"/>
      <c r="F533" s="289"/>
      <c r="H533" s="38"/>
      <c r="I533" s="23"/>
      <c r="J533" s="24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1.25" customHeight="1">
      <c r="A534" s="289"/>
      <c r="B534" s="289"/>
      <c r="C534" s="289"/>
      <c r="D534" s="289"/>
      <c r="E534" s="290"/>
      <c r="F534" s="289"/>
      <c r="H534" s="38"/>
      <c r="I534" s="23"/>
      <c r="J534" s="24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1.25" customHeight="1">
      <c r="A535" s="289"/>
      <c r="B535" s="289"/>
      <c r="C535" s="289"/>
      <c r="D535" s="289"/>
      <c r="E535" s="290"/>
      <c r="F535" s="289"/>
      <c r="H535" s="38"/>
      <c r="I535" s="23"/>
      <c r="J535" s="24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1.25" customHeight="1">
      <c r="A536" s="289"/>
      <c r="B536" s="289"/>
      <c r="C536" s="289"/>
      <c r="D536" s="289"/>
      <c r="E536" s="290"/>
      <c r="F536" s="289"/>
      <c r="H536" s="38"/>
      <c r="I536" s="23"/>
      <c r="J536" s="24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1.25" customHeight="1">
      <c r="A537" s="289"/>
      <c r="B537" s="289"/>
      <c r="C537" s="289"/>
      <c r="D537" s="289"/>
      <c r="E537" s="290"/>
      <c r="F537" s="289"/>
      <c r="H537" s="38"/>
      <c r="I537" s="23"/>
      <c r="J537" s="24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1.25" customHeight="1">
      <c r="A538" s="289"/>
      <c r="B538" s="289"/>
      <c r="C538" s="289"/>
      <c r="D538" s="289"/>
      <c r="E538" s="290"/>
      <c r="F538" s="289"/>
      <c r="H538" s="38"/>
      <c r="I538" s="23"/>
      <c r="J538" s="24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1.25" customHeight="1">
      <c r="A539" s="289"/>
      <c r="B539" s="289"/>
      <c r="C539" s="289"/>
      <c r="D539" s="289"/>
      <c r="E539" s="290"/>
      <c r="F539" s="289"/>
      <c r="H539" s="38"/>
      <c r="I539" s="23"/>
      <c r="J539" s="24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1.25" customHeight="1">
      <c r="A540" s="289"/>
      <c r="B540" s="289"/>
      <c r="C540" s="289"/>
      <c r="D540" s="289"/>
      <c r="E540" s="290"/>
      <c r="F540" s="289"/>
      <c r="H540" s="38"/>
      <c r="I540" s="23"/>
      <c r="J540" s="24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1.25" customHeight="1">
      <c r="A541" s="289"/>
      <c r="B541" s="289"/>
      <c r="C541" s="289"/>
      <c r="D541" s="289"/>
      <c r="E541" s="290"/>
      <c r="F541" s="289"/>
      <c r="H541" s="38"/>
      <c r="I541" s="23"/>
      <c r="J541" s="24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1.25" customHeight="1">
      <c r="A542" s="289"/>
      <c r="B542" s="289"/>
      <c r="C542" s="289"/>
      <c r="D542" s="289"/>
      <c r="E542" s="290"/>
      <c r="F542" s="289"/>
      <c r="H542" s="38"/>
      <c r="I542" s="23"/>
      <c r="J542" s="24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1.25" customHeight="1">
      <c r="A543" s="289"/>
      <c r="B543" s="289"/>
      <c r="C543" s="289"/>
      <c r="D543" s="289"/>
      <c r="E543" s="290"/>
      <c r="F543" s="289"/>
      <c r="H543" s="38"/>
      <c r="I543" s="23"/>
      <c r="J543" s="24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1.25" customHeight="1">
      <c r="A544" s="289"/>
      <c r="B544" s="289"/>
      <c r="C544" s="289"/>
      <c r="D544" s="289"/>
      <c r="E544" s="290"/>
      <c r="F544" s="289"/>
      <c r="H544" s="38"/>
      <c r="I544" s="23"/>
      <c r="J544" s="24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1.25" customHeight="1">
      <c r="A545" s="289"/>
      <c r="B545" s="289"/>
      <c r="C545" s="289"/>
      <c r="D545" s="289"/>
      <c r="E545" s="290"/>
      <c r="F545" s="289"/>
      <c r="H545" s="38"/>
      <c r="I545" s="23"/>
      <c r="J545" s="24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1.25" customHeight="1">
      <c r="A546" s="289"/>
      <c r="B546" s="289"/>
      <c r="C546" s="289"/>
      <c r="D546" s="289"/>
      <c r="E546" s="290"/>
      <c r="F546" s="289"/>
      <c r="H546" s="38"/>
      <c r="I546" s="23"/>
      <c r="J546" s="24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1.25" customHeight="1">
      <c r="A547" s="289"/>
      <c r="B547" s="289"/>
      <c r="C547" s="289"/>
      <c r="D547" s="289"/>
      <c r="E547" s="290"/>
      <c r="F547" s="289"/>
      <c r="H547" s="38"/>
      <c r="I547" s="23"/>
      <c r="J547" s="24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1.25" customHeight="1">
      <c r="A548" s="289"/>
      <c r="B548" s="289"/>
      <c r="C548" s="289"/>
      <c r="D548" s="289"/>
      <c r="E548" s="290"/>
      <c r="F548" s="289"/>
      <c r="H548" s="38"/>
      <c r="I548" s="23"/>
      <c r="J548" s="24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1.25" customHeight="1">
      <c r="A549" s="289"/>
      <c r="B549" s="289"/>
      <c r="C549" s="289"/>
      <c r="D549" s="289"/>
      <c r="E549" s="290"/>
      <c r="F549" s="289"/>
      <c r="H549" s="38"/>
      <c r="I549" s="23"/>
      <c r="J549" s="24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1.25" customHeight="1">
      <c r="A550" s="289"/>
      <c r="B550" s="289"/>
      <c r="C550" s="289"/>
      <c r="D550" s="289"/>
      <c r="E550" s="290"/>
      <c r="F550" s="289"/>
      <c r="H550" s="38"/>
      <c r="I550" s="23"/>
      <c r="J550" s="24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1.25" customHeight="1">
      <c r="A551" s="289"/>
      <c r="B551" s="289"/>
      <c r="C551" s="289"/>
      <c r="D551" s="289"/>
      <c r="E551" s="290"/>
      <c r="F551" s="289"/>
      <c r="H551" s="38"/>
      <c r="I551" s="23"/>
      <c r="J551" s="24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1.25" customHeight="1">
      <c r="A552" s="289"/>
      <c r="B552" s="289"/>
      <c r="C552" s="289"/>
      <c r="D552" s="289"/>
      <c r="E552" s="290"/>
      <c r="F552" s="289"/>
      <c r="H552" s="38"/>
      <c r="I552" s="23"/>
      <c r="J552" s="24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1.25" customHeight="1">
      <c r="A553" s="289"/>
      <c r="B553" s="289"/>
      <c r="C553" s="289"/>
      <c r="D553" s="289"/>
      <c r="E553" s="290"/>
      <c r="F553" s="289"/>
      <c r="H553" s="38"/>
      <c r="I553" s="23"/>
      <c r="J553" s="24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1.25" customHeight="1">
      <c r="A554" s="289"/>
      <c r="B554" s="289"/>
      <c r="C554" s="289"/>
      <c r="D554" s="289"/>
      <c r="E554" s="290"/>
      <c r="F554" s="289"/>
      <c r="H554" s="38"/>
      <c r="I554" s="23"/>
      <c r="J554" s="24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1.25" customHeight="1">
      <c r="A555" s="289"/>
      <c r="B555" s="289"/>
      <c r="C555" s="289"/>
      <c r="D555" s="289"/>
      <c r="E555" s="290"/>
      <c r="F555" s="289"/>
      <c r="H555" s="38"/>
      <c r="I555" s="23"/>
      <c r="J555" s="24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1.25" customHeight="1">
      <c r="A556" s="289"/>
      <c r="B556" s="289"/>
      <c r="C556" s="289"/>
      <c r="D556" s="289"/>
      <c r="E556" s="290"/>
      <c r="F556" s="289"/>
      <c r="H556" s="38"/>
      <c r="I556" s="23"/>
      <c r="J556" s="24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1.25" customHeight="1">
      <c r="A557" s="289"/>
      <c r="B557" s="289"/>
      <c r="C557" s="289"/>
      <c r="D557" s="289"/>
      <c r="E557" s="290"/>
      <c r="F557" s="289"/>
      <c r="H557" s="38"/>
      <c r="I557" s="23"/>
      <c r="J557" s="24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1.25" customHeight="1">
      <c r="A558" s="289"/>
      <c r="B558" s="289"/>
      <c r="C558" s="289"/>
      <c r="D558" s="289"/>
      <c r="E558" s="290"/>
      <c r="F558" s="289"/>
      <c r="H558" s="38"/>
      <c r="I558" s="23"/>
      <c r="J558" s="24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1.25" customHeight="1">
      <c r="A559" s="289"/>
      <c r="B559" s="289"/>
      <c r="C559" s="289"/>
      <c r="D559" s="289"/>
      <c r="E559" s="290"/>
      <c r="F559" s="289"/>
      <c r="H559" s="38"/>
      <c r="I559" s="23"/>
      <c r="J559" s="24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1.25" customHeight="1">
      <c r="A560" s="289"/>
      <c r="B560" s="289"/>
      <c r="C560" s="289"/>
      <c r="D560" s="289"/>
      <c r="E560" s="290"/>
      <c r="F560" s="289"/>
      <c r="H560" s="38"/>
      <c r="I560" s="23"/>
      <c r="J560" s="24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1.25" customHeight="1">
      <c r="A561" s="289"/>
      <c r="B561" s="289"/>
      <c r="C561" s="289"/>
      <c r="D561" s="289"/>
      <c r="E561" s="290"/>
      <c r="F561" s="289"/>
      <c r="H561" s="38"/>
      <c r="I561" s="23"/>
      <c r="J561" s="24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1.25" customHeight="1">
      <c r="A562" s="289"/>
      <c r="B562" s="289"/>
      <c r="C562" s="289"/>
      <c r="D562" s="289"/>
      <c r="E562" s="290"/>
      <c r="F562" s="289"/>
      <c r="H562" s="38"/>
      <c r="I562" s="23"/>
      <c r="J562" s="24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1.25" customHeight="1">
      <c r="A563" s="289"/>
      <c r="B563" s="289"/>
      <c r="C563" s="289"/>
      <c r="D563" s="289"/>
      <c r="E563" s="290"/>
      <c r="F563" s="289"/>
      <c r="H563" s="38"/>
      <c r="I563" s="23"/>
      <c r="J563" s="24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1.25" customHeight="1">
      <c r="A564" s="289"/>
      <c r="B564" s="289"/>
      <c r="C564" s="289"/>
      <c r="D564" s="289"/>
      <c r="E564" s="290"/>
      <c r="F564" s="289"/>
      <c r="H564" s="38"/>
      <c r="I564" s="23"/>
      <c r="J564" s="24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1.25" customHeight="1">
      <c r="A565" s="289"/>
      <c r="B565" s="289"/>
      <c r="C565" s="289"/>
      <c r="D565" s="289"/>
      <c r="E565" s="290"/>
      <c r="F565" s="289"/>
      <c r="H565" s="38"/>
      <c r="I565" s="23"/>
      <c r="J565" s="24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1.25" customHeight="1">
      <c r="A566" s="289"/>
      <c r="B566" s="289"/>
      <c r="C566" s="289"/>
      <c r="D566" s="289"/>
      <c r="E566" s="290"/>
      <c r="F566" s="289"/>
      <c r="H566" s="38"/>
      <c r="I566" s="23"/>
      <c r="J566" s="24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1.25" customHeight="1">
      <c r="A567" s="289"/>
      <c r="B567" s="289"/>
      <c r="C567" s="289"/>
      <c r="D567" s="289"/>
      <c r="E567" s="290"/>
      <c r="F567" s="289"/>
      <c r="H567" s="38"/>
      <c r="I567" s="23"/>
      <c r="J567" s="24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1.25" customHeight="1">
      <c r="A568" s="289"/>
      <c r="B568" s="289"/>
      <c r="C568" s="289"/>
      <c r="D568" s="289"/>
      <c r="E568" s="290"/>
      <c r="F568" s="289"/>
      <c r="H568" s="38"/>
      <c r="I568" s="23"/>
      <c r="J568" s="24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1.25" customHeight="1">
      <c r="A569" s="289"/>
      <c r="B569" s="289"/>
      <c r="C569" s="289"/>
      <c r="D569" s="289"/>
      <c r="E569" s="290"/>
      <c r="F569" s="289"/>
      <c r="H569" s="38"/>
      <c r="I569" s="23"/>
      <c r="J569" s="24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1.25" customHeight="1">
      <c r="A570" s="289"/>
      <c r="B570" s="289"/>
      <c r="C570" s="289"/>
      <c r="D570" s="289"/>
      <c r="E570" s="290"/>
      <c r="F570" s="289"/>
      <c r="H570" s="38"/>
      <c r="I570" s="23"/>
      <c r="J570" s="24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1.25" customHeight="1">
      <c r="A571" s="289"/>
      <c r="B571" s="289"/>
      <c r="C571" s="289"/>
      <c r="D571" s="289"/>
      <c r="E571" s="290"/>
      <c r="F571" s="289"/>
      <c r="H571" s="38"/>
      <c r="I571" s="23"/>
      <c r="J571" s="24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1.25" customHeight="1">
      <c r="A572" s="289"/>
      <c r="B572" s="289"/>
      <c r="C572" s="289"/>
      <c r="D572" s="289"/>
      <c r="E572" s="290"/>
      <c r="F572" s="289"/>
      <c r="H572" s="38"/>
      <c r="I572" s="23"/>
      <c r="J572" s="24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1.25" customHeight="1">
      <c r="A573" s="289"/>
      <c r="B573" s="289"/>
      <c r="C573" s="289"/>
      <c r="D573" s="289"/>
      <c r="E573" s="290"/>
      <c r="F573" s="289"/>
      <c r="H573" s="38"/>
      <c r="I573" s="23"/>
      <c r="J573" s="24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1.25" customHeight="1">
      <c r="A574" s="289"/>
      <c r="B574" s="289"/>
      <c r="C574" s="289"/>
      <c r="D574" s="289"/>
      <c r="E574" s="290"/>
      <c r="F574" s="289"/>
      <c r="H574" s="38"/>
      <c r="I574" s="23"/>
      <c r="J574" s="24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1.25" customHeight="1">
      <c r="A575" s="289"/>
      <c r="B575" s="289"/>
      <c r="C575" s="289"/>
      <c r="D575" s="289"/>
      <c r="E575" s="290"/>
      <c r="F575" s="289"/>
      <c r="H575" s="38"/>
      <c r="I575" s="23"/>
      <c r="J575" s="24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1.25" customHeight="1">
      <c r="A576" s="289"/>
      <c r="B576" s="289"/>
      <c r="C576" s="289"/>
      <c r="D576" s="289"/>
      <c r="E576" s="290"/>
      <c r="F576" s="289"/>
      <c r="H576" s="38"/>
      <c r="I576" s="23"/>
      <c r="J576" s="24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1.25" customHeight="1">
      <c r="A577" s="289"/>
      <c r="B577" s="289"/>
      <c r="C577" s="289"/>
      <c r="D577" s="289"/>
      <c r="E577" s="290"/>
      <c r="F577" s="289"/>
      <c r="H577" s="38"/>
      <c r="I577" s="23"/>
      <c r="J577" s="24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1.25" customHeight="1">
      <c r="A578" s="289"/>
      <c r="B578" s="289"/>
      <c r="C578" s="289"/>
      <c r="D578" s="289"/>
      <c r="E578" s="290"/>
      <c r="F578" s="289"/>
      <c r="H578" s="38"/>
      <c r="I578" s="23"/>
      <c r="J578" s="24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1.25" customHeight="1">
      <c r="A579" s="289"/>
      <c r="B579" s="289"/>
      <c r="C579" s="289"/>
      <c r="D579" s="289"/>
      <c r="E579" s="290"/>
      <c r="F579" s="289"/>
      <c r="H579" s="38"/>
      <c r="I579" s="23"/>
      <c r="J579" s="24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1.25" customHeight="1">
      <c r="A580" s="289"/>
      <c r="B580" s="289"/>
      <c r="C580" s="289"/>
      <c r="D580" s="289"/>
      <c r="E580" s="290"/>
      <c r="F580" s="289"/>
      <c r="H580" s="38"/>
      <c r="I580" s="23"/>
      <c r="J580" s="24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1.25" customHeight="1">
      <c r="A581" s="289"/>
      <c r="B581" s="289"/>
      <c r="C581" s="289"/>
      <c r="D581" s="289"/>
      <c r="E581" s="290"/>
      <c r="F581" s="289"/>
      <c r="H581" s="38"/>
      <c r="I581" s="23"/>
      <c r="J581" s="24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1.25" customHeight="1">
      <c r="A582" s="289"/>
      <c r="B582" s="289"/>
      <c r="C582" s="289"/>
      <c r="D582" s="289"/>
      <c r="E582" s="290"/>
      <c r="F582" s="289"/>
      <c r="H582" s="38"/>
      <c r="I582" s="23"/>
      <c r="J582" s="24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1.25" customHeight="1">
      <c r="A583" s="289"/>
      <c r="B583" s="289"/>
      <c r="C583" s="289"/>
      <c r="D583" s="289"/>
      <c r="E583" s="290"/>
      <c r="F583" s="289"/>
      <c r="H583" s="38"/>
      <c r="I583" s="23"/>
      <c r="J583" s="24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1.25" customHeight="1">
      <c r="A584" s="289"/>
      <c r="B584" s="289"/>
      <c r="C584" s="289"/>
      <c r="D584" s="289"/>
      <c r="E584" s="290"/>
      <c r="F584" s="289"/>
      <c r="H584" s="38"/>
      <c r="I584" s="23"/>
      <c r="J584" s="24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1.25" customHeight="1">
      <c r="A585" s="289"/>
      <c r="B585" s="289"/>
      <c r="C585" s="289"/>
      <c r="D585" s="289"/>
      <c r="E585" s="290"/>
      <c r="F585" s="289"/>
      <c r="H585" s="38"/>
      <c r="I585" s="23"/>
      <c r="J585" s="24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1.25" customHeight="1">
      <c r="A586" s="289"/>
      <c r="B586" s="289"/>
      <c r="C586" s="289"/>
      <c r="D586" s="289"/>
      <c r="E586" s="290"/>
      <c r="F586" s="289"/>
      <c r="H586" s="38"/>
      <c r="I586" s="23"/>
      <c r="J586" s="24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1.25" customHeight="1">
      <c r="A587" s="289"/>
      <c r="B587" s="289"/>
      <c r="C587" s="289"/>
      <c r="D587" s="289"/>
      <c r="E587" s="290"/>
      <c r="F587" s="289"/>
      <c r="H587" s="38"/>
      <c r="I587" s="23"/>
      <c r="J587" s="24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1.25" customHeight="1">
      <c r="A588" s="289"/>
      <c r="B588" s="289"/>
      <c r="C588" s="289"/>
      <c r="D588" s="289"/>
      <c r="E588" s="290"/>
      <c r="F588" s="289"/>
      <c r="H588" s="38"/>
      <c r="I588" s="23"/>
      <c r="J588" s="24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1.25" customHeight="1">
      <c r="A589" s="289"/>
      <c r="B589" s="289"/>
      <c r="C589" s="289"/>
      <c r="D589" s="289"/>
      <c r="E589" s="290"/>
      <c r="F589" s="289"/>
      <c r="H589" s="38"/>
      <c r="I589" s="23"/>
      <c r="J589" s="24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1.25" customHeight="1">
      <c r="A590" s="289"/>
      <c r="B590" s="289"/>
      <c r="C590" s="289"/>
      <c r="D590" s="289"/>
      <c r="E590" s="290"/>
      <c r="F590" s="289"/>
      <c r="H590" s="38"/>
      <c r="I590" s="23"/>
      <c r="J590" s="24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1.25" customHeight="1">
      <c r="A591" s="289"/>
      <c r="B591" s="289"/>
      <c r="C591" s="289"/>
      <c r="D591" s="289"/>
      <c r="E591" s="290"/>
      <c r="F591" s="289"/>
      <c r="H591" s="38"/>
      <c r="I591" s="23"/>
      <c r="J591" s="24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1.25" customHeight="1">
      <c r="A592" s="289"/>
      <c r="B592" s="289"/>
      <c r="C592" s="289"/>
      <c r="D592" s="289"/>
      <c r="E592" s="290"/>
      <c r="F592" s="289"/>
      <c r="H592" s="38"/>
      <c r="I592" s="23"/>
      <c r="J592" s="24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1.25" customHeight="1">
      <c r="A593" s="289"/>
      <c r="B593" s="289"/>
      <c r="C593" s="289"/>
      <c r="D593" s="289"/>
      <c r="E593" s="290"/>
      <c r="F593" s="289"/>
      <c r="H593" s="38"/>
      <c r="I593" s="23"/>
      <c r="J593" s="24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1.25" customHeight="1">
      <c r="A594" s="289"/>
      <c r="B594" s="289"/>
      <c r="C594" s="289"/>
      <c r="D594" s="289"/>
      <c r="E594" s="290"/>
      <c r="F594" s="289"/>
      <c r="H594" s="38"/>
      <c r="I594" s="23"/>
      <c r="J594" s="24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1.25" customHeight="1">
      <c r="A595" s="289"/>
      <c r="B595" s="289"/>
      <c r="C595" s="289"/>
      <c r="D595" s="289"/>
      <c r="E595" s="290"/>
      <c r="F595" s="289"/>
      <c r="H595" s="38"/>
      <c r="I595" s="23"/>
      <c r="J595" s="24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1.25" customHeight="1">
      <c r="A596" s="289"/>
      <c r="B596" s="289"/>
      <c r="C596" s="289"/>
      <c r="D596" s="289"/>
      <c r="E596" s="290"/>
      <c r="F596" s="289"/>
      <c r="H596" s="38"/>
      <c r="I596" s="23"/>
      <c r="J596" s="24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1.25" customHeight="1">
      <c r="A597" s="289"/>
      <c r="B597" s="289"/>
      <c r="C597" s="289"/>
      <c r="D597" s="289"/>
      <c r="E597" s="290"/>
      <c r="F597" s="289"/>
      <c r="H597" s="38"/>
      <c r="I597" s="23"/>
      <c r="J597" s="24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1.25" customHeight="1">
      <c r="A598" s="289"/>
      <c r="B598" s="289"/>
      <c r="C598" s="289"/>
      <c r="D598" s="289"/>
      <c r="E598" s="290"/>
      <c r="F598" s="289"/>
      <c r="H598" s="38"/>
      <c r="I598" s="23"/>
      <c r="J598" s="24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1.25" customHeight="1">
      <c r="A599" s="289"/>
      <c r="B599" s="289"/>
      <c r="C599" s="289"/>
      <c r="D599" s="289"/>
      <c r="E599" s="290"/>
      <c r="F599" s="289"/>
      <c r="H599" s="38"/>
      <c r="I599" s="23"/>
      <c r="J599" s="24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1.25" customHeight="1">
      <c r="A600" s="289"/>
      <c r="B600" s="289"/>
      <c r="C600" s="289"/>
      <c r="D600" s="289"/>
      <c r="E600" s="290"/>
      <c r="F600" s="289"/>
      <c r="H600" s="38"/>
      <c r="I600" s="23"/>
      <c r="J600" s="24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1.25" customHeight="1">
      <c r="A601" s="289"/>
      <c r="B601" s="289"/>
      <c r="C601" s="289"/>
      <c r="D601" s="289"/>
      <c r="E601" s="290"/>
      <c r="F601" s="289"/>
      <c r="H601" s="38"/>
      <c r="I601" s="23"/>
      <c r="J601" s="24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1.25" customHeight="1">
      <c r="A602" s="289"/>
      <c r="B602" s="289"/>
      <c r="C602" s="289"/>
      <c r="D602" s="289"/>
      <c r="E602" s="290"/>
      <c r="F602" s="289"/>
      <c r="H602" s="38"/>
      <c r="I602" s="23"/>
      <c r="J602" s="24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1.25" customHeight="1">
      <c r="A603" s="289"/>
      <c r="B603" s="289"/>
      <c r="C603" s="289"/>
      <c r="D603" s="289"/>
      <c r="E603" s="290"/>
      <c r="F603" s="289"/>
      <c r="H603" s="38"/>
      <c r="I603" s="23"/>
      <c r="J603" s="24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1.25" customHeight="1">
      <c r="A604" s="289"/>
      <c r="B604" s="289"/>
      <c r="C604" s="289"/>
      <c r="D604" s="289"/>
      <c r="E604" s="290"/>
      <c r="F604" s="289"/>
      <c r="H604" s="38"/>
      <c r="I604" s="23"/>
      <c r="J604" s="24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1.25" customHeight="1">
      <c r="A605" s="289"/>
      <c r="B605" s="289"/>
      <c r="C605" s="289"/>
      <c r="D605" s="289"/>
      <c r="E605" s="290"/>
      <c r="F605" s="289"/>
      <c r="H605" s="38"/>
      <c r="I605" s="23"/>
      <c r="J605" s="24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1.25" customHeight="1">
      <c r="A606" s="289"/>
      <c r="B606" s="289"/>
      <c r="C606" s="289"/>
      <c r="D606" s="289"/>
      <c r="E606" s="290"/>
      <c r="F606" s="289"/>
      <c r="H606" s="38"/>
      <c r="I606" s="23"/>
      <c r="J606" s="24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1.25" customHeight="1">
      <c r="A607" s="289"/>
      <c r="B607" s="289"/>
      <c r="C607" s="289"/>
      <c r="D607" s="289"/>
      <c r="E607" s="290"/>
      <c r="F607" s="289"/>
      <c r="H607" s="38"/>
      <c r="I607" s="23"/>
      <c r="J607" s="24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1.25" customHeight="1">
      <c r="A608" s="289"/>
      <c r="B608" s="289"/>
      <c r="C608" s="289"/>
      <c r="D608" s="289"/>
      <c r="E608" s="290"/>
      <c r="F608" s="289"/>
      <c r="H608" s="38"/>
      <c r="I608" s="23"/>
      <c r="J608" s="24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1.25" customHeight="1">
      <c r="A609" s="289"/>
      <c r="B609" s="289"/>
      <c r="C609" s="289"/>
      <c r="D609" s="289"/>
      <c r="E609" s="290"/>
      <c r="F609" s="289"/>
      <c r="H609" s="38"/>
      <c r="I609" s="23"/>
      <c r="J609" s="24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1.25" customHeight="1">
      <c r="A610" s="289"/>
      <c r="B610" s="289"/>
      <c r="C610" s="289"/>
      <c r="D610" s="289"/>
      <c r="E610" s="290"/>
      <c r="F610" s="289"/>
      <c r="H610" s="38"/>
      <c r="I610" s="23"/>
      <c r="J610" s="24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1.25" customHeight="1">
      <c r="A611" s="289"/>
      <c r="B611" s="289"/>
      <c r="C611" s="289"/>
      <c r="D611" s="289"/>
      <c r="E611" s="290"/>
      <c r="F611" s="289"/>
      <c r="H611" s="38"/>
      <c r="I611" s="23"/>
      <c r="J611" s="24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1.25" customHeight="1">
      <c r="A612" s="289"/>
      <c r="B612" s="289"/>
      <c r="C612" s="289"/>
      <c r="D612" s="289"/>
      <c r="E612" s="290"/>
      <c r="F612" s="289"/>
      <c r="H612" s="38"/>
      <c r="I612" s="23"/>
      <c r="J612" s="24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1.25" customHeight="1">
      <c r="A613" s="289"/>
      <c r="B613" s="289"/>
      <c r="C613" s="289"/>
      <c r="D613" s="289"/>
      <c r="E613" s="290"/>
      <c r="F613" s="289"/>
      <c r="H613" s="38"/>
      <c r="I613" s="23"/>
      <c r="J613" s="24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1.25" customHeight="1">
      <c r="A614" s="289"/>
      <c r="B614" s="289"/>
      <c r="C614" s="289"/>
      <c r="D614" s="289"/>
      <c r="E614" s="290"/>
      <c r="F614" s="289"/>
      <c r="H614" s="38"/>
      <c r="I614" s="23"/>
      <c r="J614" s="24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1.25" customHeight="1">
      <c r="A615" s="289"/>
      <c r="B615" s="289"/>
      <c r="C615" s="289"/>
      <c r="D615" s="289"/>
      <c r="E615" s="290"/>
      <c r="F615" s="289"/>
      <c r="H615" s="38"/>
      <c r="I615" s="23"/>
      <c r="J615" s="24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1.25" customHeight="1">
      <c r="A616" s="289"/>
      <c r="B616" s="289"/>
      <c r="C616" s="289"/>
      <c r="D616" s="289"/>
      <c r="E616" s="290"/>
      <c r="F616" s="289"/>
      <c r="H616" s="38"/>
      <c r="I616" s="23"/>
      <c r="J616" s="24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1.25" customHeight="1">
      <c r="A617" s="289"/>
      <c r="B617" s="289"/>
      <c r="C617" s="289"/>
      <c r="D617" s="289"/>
      <c r="E617" s="290"/>
      <c r="F617" s="289"/>
      <c r="H617" s="38"/>
      <c r="I617" s="23"/>
      <c r="J617" s="24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1.25" customHeight="1">
      <c r="A618" s="289"/>
      <c r="B618" s="289"/>
      <c r="C618" s="289"/>
      <c r="D618" s="289"/>
      <c r="E618" s="290"/>
      <c r="F618" s="289"/>
      <c r="H618" s="38"/>
      <c r="I618" s="23"/>
      <c r="J618" s="24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1.25" customHeight="1">
      <c r="A619" s="289"/>
      <c r="B619" s="289"/>
      <c r="C619" s="289"/>
      <c r="D619" s="289"/>
      <c r="E619" s="290"/>
      <c r="F619" s="289"/>
      <c r="H619" s="38"/>
      <c r="I619" s="23"/>
      <c r="J619" s="24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1.25" customHeight="1">
      <c r="A620" s="289"/>
      <c r="B620" s="289"/>
      <c r="C620" s="289"/>
      <c r="D620" s="289"/>
      <c r="E620" s="290"/>
      <c r="F620" s="289"/>
      <c r="H620" s="38"/>
      <c r="I620" s="23"/>
      <c r="J620" s="24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1.25" customHeight="1">
      <c r="A621" s="289"/>
      <c r="B621" s="289"/>
      <c r="C621" s="289"/>
      <c r="D621" s="289"/>
      <c r="E621" s="290"/>
      <c r="F621" s="289"/>
      <c r="H621" s="38"/>
      <c r="I621" s="23"/>
      <c r="J621" s="24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1.25" customHeight="1">
      <c r="A622" s="289"/>
      <c r="B622" s="289"/>
      <c r="C622" s="289"/>
      <c r="D622" s="289"/>
      <c r="E622" s="290"/>
      <c r="F622" s="289"/>
      <c r="H622" s="38"/>
      <c r="I622" s="23"/>
      <c r="J622" s="24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1.25" customHeight="1">
      <c r="A623" s="289"/>
      <c r="B623" s="289"/>
      <c r="C623" s="289"/>
      <c r="D623" s="289"/>
      <c r="E623" s="290"/>
      <c r="F623" s="289"/>
      <c r="H623" s="38"/>
      <c r="I623" s="23"/>
      <c r="J623" s="24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1.25" customHeight="1">
      <c r="A624" s="289"/>
      <c r="B624" s="289"/>
      <c r="C624" s="289"/>
      <c r="D624" s="289"/>
      <c r="E624" s="290"/>
      <c r="F624" s="289"/>
      <c r="H624" s="38"/>
      <c r="I624" s="23"/>
      <c r="J624" s="24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1.25" customHeight="1">
      <c r="A625" s="289"/>
      <c r="B625" s="289"/>
      <c r="C625" s="289"/>
      <c r="D625" s="289"/>
      <c r="E625" s="290"/>
      <c r="F625" s="289"/>
      <c r="H625" s="38"/>
      <c r="I625" s="23"/>
      <c r="J625" s="24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1.25" customHeight="1">
      <c r="A626" s="289"/>
      <c r="B626" s="289"/>
      <c r="C626" s="289"/>
      <c r="D626" s="289"/>
      <c r="E626" s="290"/>
      <c r="F626" s="289"/>
      <c r="H626" s="38"/>
      <c r="I626" s="23"/>
      <c r="J626" s="24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1.25" customHeight="1">
      <c r="A627" s="289"/>
      <c r="B627" s="289"/>
      <c r="C627" s="289"/>
      <c r="D627" s="289"/>
      <c r="E627" s="290"/>
      <c r="F627" s="289"/>
      <c r="H627" s="38"/>
      <c r="I627" s="23"/>
      <c r="J627" s="24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1.25" customHeight="1">
      <c r="A628" s="289"/>
      <c r="B628" s="289"/>
      <c r="C628" s="289"/>
      <c r="D628" s="289"/>
      <c r="E628" s="290"/>
      <c r="F628" s="289"/>
      <c r="H628" s="38"/>
      <c r="I628" s="23"/>
      <c r="J628" s="24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1.25" customHeight="1">
      <c r="A629" s="289"/>
      <c r="B629" s="289"/>
      <c r="C629" s="289"/>
      <c r="D629" s="289"/>
      <c r="E629" s="290"/>
      <c r="F629" s="289"/>
      <c r="H629" s="38"/>
      <c r="I629" s="23"/>
      <c r="J629" s="24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1.25" customHeight="1">
      <c r="A630" s="289"/>
      <c r="B630" s="289"/>
      <c r="C630" s="289"/>
      <c r="D630" s="289"/>
      <c r="E630" s="290"/>
      <c r="F630" s="289"/>
      <c r="H630" s="38"/>
      <c r="I630" s="23"/>
      <c r="J630" s="24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1.25" customHeight="1">
      <c r="A631" s="289"/>
      <c r="B631" s="289"/>
      <c r="C631" s="289"/>
      <c r="D631" s="289"/>
      <c r="E631" s="290"/>
      <c r="F631" s="289"/>
      <c r="H631" s="38"/>
      <c r="I631" s="23"/>
      <c r="J631" s="24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1.25" customHeight="1">
      <c r="A632" s="289"/>
      <c r="B632" s="289"/>
      <c r="C632" s="289"/>
      <c r="D632" s="289"/>
      <c r="E632" s="290"/>
      <c r="F632" s="289"/>
      <c r="H632" s="38"/>
      <c r="I632" s="23"/>
      <c r="J632" s="24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1.25" customHeight="1">
      <c r="A633" s="289"/>
      <c r="B633" s="289"/>
      <c r="C633" s="289"/>
      <c r="D633" s="289"/>
      <c r="E633" s="290"/>
      <c r="F633" s="289"/>
      <c r="H633" s="38"/>
      <c r="I633" s="23"/>
      <c r="J633" s="24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1.25" customHeight="1">
      <c r="A634" s="289"/>
      <c r="B634" s="289"/>
      <c r="C634" s="289"/>
      <c r="D634" s="289"/>
      <c r="E634" s="290"/>
      <c r="F634" s="289"/>
      <c r="H634" s="38"/>
      <c r="I634" s="23"/>
      <c r="J634" s="24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1.25" customHeight="1">
      <c r="A635" s="289"/>
      <c r="B635" s="289"/>
      <c r="C635" s="289"/>
      <c r="D635" s="289"/>
      <c r="E635" s="290"/>
      <c r="F635" s="289"/>
      <c r="H635" s="38"/>
      <c r="I635" s="23"/>
      <c r="J635" s="24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1.25" customHeight="1">
      <c r="A636" s="289"/>
      <c r="B636" s="289"/>
      <c r="C636" s="289"/>
      <c r="D636" s="289"/>
      <c r="E636" s="290"/>
      <c r="F636" s="289"/>
      <c r="H636" s="38"/>
      <c r="I636" s="23"/>
      <c r="J636" s="24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1.25" customHeight="1">
      <c r="A637" s="289"/>
      <c r="B637" s="289"/>
      <c r="C637" s="289"/>
      <c r="D637" s="289"/>
      <c r="E637" s="290"/>
      <c r="F637" s="289"/>
      <c r="H637" s="38"/>
      <c r="I637" s="23"/>
      <c r="J637" s="24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1.25" customHeight="1">
      <c r="A638" s="289"/>
      <c r="B638" s="289"/>
      <c r="C638" s="289"/>
      <c r="D638" s="289"/>
      <c r="E638" s="290"/>
      <c r="F638" s="289"/>
      <c r="H638" s="38"/>
      <c r="I638" s="23"/>
      <c r="J638" s="24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1.25" customHeight="1">
      <c r="A639" s="289"/>
      <c r="B639" s="289"/>
      <c r="C639" s="289"/>
      <c r="D639" s="289"/>
      <c r="E639" s="290"/>
      <c r="F639" s="289"/>
      <c r="H639" s="38"/>
      <c r="I639" s="23"/>
      <c r="J639" s="24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1.25" customHeight="1">
      <c r="A640" s="289"/>
      <c r="B640" s="289"/>
      <c r="C640" s="289"/>
      <c r="D640" s="289"/>
      <c r="E640" s="290"/>
      <c r="F640" s="289"/>
      <c r="H640" s="38"/>
      <c r="I640" s="23"/>
      <c r="J640" s="24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1.25" customHeight="1">
      <c r="A641" s="289"/>
      <c r="B641" s="289"/>
      <c r="C641" s="289"/>
      <c r="D641" s="289"/>
      <c r="E641" s="290"/>
      <c r="F641" s="289"/>
      <c r="H641" s="38"/>
      <c r="I641" s="23"/>
      <c r="J641" s="24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1.25" customHeight="1">
      <c r="A642" s="289"/>
      <c r="B642" s="289"/>
      <c r="C642" s="289"/>
      <c r="D642" s="289"/>
      <c r="E642" s="290"/>
      <c r="F642" s="289"/>
      <c r="H642" s="38"/>
      <c r="I642" s="23"/>
      <c r="J642" s="24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1.25" customHeight="1">
      <c r="A643" s="289"/>
      <c r="B643" s="289"/>
      <c r="C643" s="289"/>
      <c r="D643" s="289"/>
      <c r="E643" s="290"/>
      <c r="F643" s="289"/>
      <c r="H643" s="38"/>
      <c r="I643" s="23"/>
      <c r="J643" s="24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1.25" customHeight="1">
      <c r="A644" s="289"/>
      <c r="B644" s="289"/>
      <c r="C644" s="289"/>
      <c r="D644" s="289"/>
      <c r="E644" s="290"/>
      <c r="F644" s="289"/>
      <c r="H644" s="38"/>
      <c r="I644" s="23"/>
      <c r="J644" s="24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1.25" customHeight="1">
      <c r="A645" s="289"/>
      <c r="B645" s="289"/>
      <c r="C645" s="289"/>
      <c r="D645" s="289"/>
      <c r="E645" s="290"/>
      <c r="F645" s="289"/>
      <c r="H645" s="38"/>
      <c r="I645" s="23"/>
      <c r="J645" s="24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1.25" customHeight="1">
      <c r="A646" s="289"/>
      <c r="B646" s="289"/>
      <c r="C646" s="289"/>
      <c r="D646" s="289"/>
      <c r="E646" s="290"/>
      <c r="F646" s="289"/>
      <c r="H646" s="38"/>
      <c r="I646" s="23"/>
      <c r="J646" s="24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1.25" customHeight="1">
      <c r="A647" s="289"/>
      <c r="B647" s="289"/>
      <c r="C647" s="289"/>
      <c r="D647" s="289"/>
      <c r="E647" s="290"/>
      <c r="F647" s="289"/>
      <c r="H647" s="38"/>
      <c r="I647" s="23"/>
      <c r="J647" s="24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1.25" customHeight="1">
      <c r="A648" s="289"/>
      <c r="B648" s="289"/>
      <c r="C648" s="289"/>
      <c r="D648" s="289"/>
      <c r="E648" s="290"/>
      <c r="F648" s="289"/>
      <c r="H648" s="38"/>
      <c r="I648" s="23"/>
      <c r="J648" s="24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1.25" customHeight="1">
      <c r="A649" s="289"/>
      <c r="B649" s="289"/>
      <c r="C649" s="289"/>
      <c r="D649" s="289"/>
      <c r="E649" s="290"/>
      <c r="F649" s="289"/>
      <c r="H649" s="38"/>
      <c r="I649" s="23"/>
      <c r="J649" s="24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1.25" customHeight="1">
      <c r="A650" s="289"/>
      <c r="B650" s="289"/>
      <c r="C650" s="289"/>
      <c r="D650" s="289"/>
      <c r="E650" s="290"/>
      <c r="F650" s="289"/>
      <c r="H650" s="38"/>
      <c r="I650" s="23"/>
      <c r="J650" s="24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1.25" customHeight="1">
      <c r="A651" s="289"/>
      <c r="B651" s="289"/>
      <c r="C651" s="289"/>
      <c r="D651" s="289"/>
      <c r="E651" s="290"/>
      <c r="F651" s="289"/>
      <c r="H651" s="38"/>
      <c r="I651" s="23"/>
      <c r="J651" s="24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1.25" customHeight="1">
      <c r="A652" s="289"/>
      <c r="B652" s="289"/>
      <c r="C652" s="289"/>
      <c r="D652" s="289"/>
      <c r="E652" s="290"/>
      <c r="F652" s="289"/>
      <c r="H652" s="38"/>
      <c r="I652" s="23"/>
      <c r="J652" s="24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1.25" customHeight="1">
      <c r="A653" s="289"/>
      <c r="B653" s="289"/>
      <c r="C653" s="289"/>
      <c r="D653" s="289"/>
      <c r="E653" s="290"/>
      <c r="F653" s="289"/>
      <c r="H653" s="38"/>
      <c r="I653" s="23"/>
      <c r="J653" s="24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1.25" customHeight="1">
      <c r="A654" s="289"/>
      <c r="B654" s="289"/>
      <c r="C654" s="289"/>
      <c r="D654" s="289"/>
      <c r="E654" s="290"/>
      <c r="F654" s="289"/>
      <c r="H654" s="38"/>
      <c r="I654" s="23"/>
      <c r="J654" s="24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1.25" customHeight="1">
      <c r="A655" s="289"/>
      <c r="B655" s="289"/>
      <c r="C655" s="289"/>
      <c r="D655" s="289"/>
      <c r="E655" s="290"/>
      <c r="F655" s="289"/>
      <c r="H655" s="38"/>
      <c r="I655" s="23"/>
      <c r="J655" s="24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1.25" customHeight="1">
      <c r="A656" s="289"/>
      <c r="B656" s="289"/>
      <c r="C656" s="289"/>
      <c r="D656" s="289"/>
      <c r="E656" s="290"/>
      <c r="F656" s="289"/>
      <c r="H656" s="38"/>
      <c r="I656" s="23"/>
      <c r="J656" s="24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1.25" customHeight="1">
      <c r="A657" s="289"/>
      <c r="B657" s="289"/>
      <c r="C657" s="289"/>
      <c r="D657" s="289"/>
      <c r="E657" s="290"/>
      <c r="F657" s="289"/>
      <c r="H657" s="38"/>
      <c r="I657" s="23"/>
      <c r="J657" s="24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1.25" customHeight="1">
      <c r="A658" s="289"/>
      <c r="B658" s="289"/>
      <c r="C658" s="289"/>
      <c r="D658" s="289"/>
      <c r="E658" s="290"/>
      <c r="F658" s="289"/>
      <c r="H658" s="38"/>
      <c r="I658" s="23"/>
      <c r="J658" s="24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1.25" customHeight="1">
      <c r="A659" s="289"/>
      <c r="B659" s="289"/>
      <c r="C659" s="289"/>
      <c r="D659" s="289"/>
      <c r="E659" s="290"/>
      <c r="F659" s="289"/>
      <c r="H659" s="38"/>
      <c r="I659" s="23"/>
      <c r="J659" s="24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1.25" customHeight="1">
      <c r="A660" s="289"/>
      <c r="B660" s="289"/>
      <c r="C660" s="289"/>
      <c r="D660" s="289"/>
      <c r="E660" s="290"/>
      <c r="F660" s="289"/>
      <c r="H660" s="38"/>
      <c r="I660" s="23"/>
      <c r="J660" s="24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1.25" customHeight="1">
      <c r="A661" s="289"/>
      <c r="B661" s="289"/>
      <c r="C661" s="289"/>
      <c r="D661" s="289"/>
      <c r="E661" s="290"/>
      <c r="F661" s="289"/>
      <c r="H661" s="38"/>
      <c r="I661" s="23"/>
      <c r="J661" s="24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1.25" customHeight="1">
      <c r="A662" s="289"/>
      <c r="B662" s="289"/>
      <c r="C662" s="289"/>
      <c r="D662" s="289"/>
      <c r="E662" s="290"/>
      <c r="F662" s="289"/>
      <c r="H662" s="38"/>
      <c r="I662" s="23"/>
      <c r="J662" s="24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1.25" customHeight="1">
      <c r="A663" s="289"/>
      <c r="B663" s="289"/>
      <c r="C663" s="289"/>
      <c r="D663" s="289"/>
      <c r="E663" s="290"/>
      <c r="F663" s="289"/>
      <c r="H663" s="38"/>
      <c r="I663" s="23"/>
      <c r="J663" s="24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1.25" customHeight="1">
      <c r="A664" s="289"/>
      <c r="B664" s="289"/>
      <c r="C664" s="289"/>
      <c r="D664" s="289"/>
      <c r="E664" s="290"/>
      <c r="F664" s="289"/>
      <c r="H664" s="38"/>
      <c r="I664" s="23"/>
      <c r="J664" s="24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1.25" customHeight="1">
      <c r="A665" s="289"/>
      <c r="B665" s="289"/>
      <c r="C665" s="289"/>
      <c r="D665" s="289"/>
      <c r="E665" s="290"/>
      <c r="F665" s="289"/>
      <c r="H665" s="38"/>
      <c r="I665" s="23"/>
      <c r="J665" s="24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1.25" customHeight="1">
      <c r="A666" s="289"/>
      <c r="B666" s="289"/>
      <c r="C666" s="289"/>
      <c r="D666" s="289"/>
      <c r="E666" s="290"/>
      <c r="F666" s="289"/>
      <c r="H666" s="38"/>
      <c r="I666" s="23"/>
      <c r="J666" s="24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1.25" customHeight="1">
      <c r="A667" s="289"/>
      <c r="B667" s="289"/>
      <c r="C667" s="289"/>
      <c r="D667" s="289"/>
      <c r="E667" s="290"/>
      <c r="F667" s="289"/>
      <c r="H667" s="38"/>
      <c r="I667" s="23"/>
      <c r="J667" s="24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1.25" customHeight="1">
      <c r="A668" s="289"/>
      <c r="B668" s="289"/>
      <c r="C668" s="289"/>
      <c r="D668" s="289"/>
      <c r="E668" s="290"/>
      <c r="F668" s="289"/>
      <c r="H668" s="38"/>
      <c r="I668" s="23"/>
      <c r="J668" s="24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1.25" customHeight="1">
      <c r="A669" s="289"/>
      <c r="B669" s="289"/>
      <c r="C669" s="289"/>
      <c r="D669" s="289"/>
      <c r="E669" s="290"/>
      <c r="F669" s="289"/>
      <c r="H669" s="38"/>
      <c r="I669" s="23"/>
      <c r="J669" s="24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1.25" customHeight="1">
      <c r="A670" s="289"/>
      <c r="B670" s="289"/>
      <c r="C670" s="289"/>
      <c r="D670" s="289"/>
      <c r="E670" s="290"/>
      <c r="F670" s="289"/>
      <c r="H670" s="38"/>
      <c r="I670" s="23"/>
      <c r="J670" s="24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1.25" customHeight="1">
      <c r="A671" s="289"/>
      <c r="B671" s="289"/>
      <c r="C671" s="289"/>
      <c r="D671" s="289"/>
      <c r="E671" s="290"/>
      <c r="F671" s="289"/>
      <c r="H671" s="38"/>
      <c r="I671" s="23"/>
      <c r="J671" s="24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1.25" customHeight="1">
      <c r="A672" s="289"/>
      <c r="B672" s="289"/>
      <c r="C672" s="289"/>
      <c r="D672" s="289"/>
      <c r="E672" s="290"/>
      <c r="F672" s="289"/>
      <c r="H672" s="38"/>
      <c r="I672" s="23"/>
      <c r="J672" s="24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1.25" customHeight="1">
      <c r="A673" s="289"/>
      <c r="B673" s="289"/>
      <c r="C673" s="289"/>
      <c r="D673" s="289"/>
      <c r="E673" s="290"/>
      <c r="F673" s="289"/>
      <c r="H673" s="38"/>
      <c r="I673" s="23"/>
      <c r="J673" s="24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1.25" customHeight="1">
      <c r="A674" s="289"/>
      <c r="B674" s="289"/>
      <c r="C674" s="289"/>
      <c r="D674" s="289"/>
      <c r="E674" s="290"/>
      <c r="F674" s="289"/>
      <c r="H674" s="38"/>
      <c r="I674" s="23"/>
      <c r="J674" s="24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1.25" customHeight="1">
      <c r="A675" s="289"/>
      <c r="B675" s="289"/>
      <c r="C675" s="289"/>
      <c r="D675" s="289"/>
      <c r="E675" s="290"/>
      <c r="F675" s="289"/>
      <c r="H675" s="38"/>
      <c r="I675" s="23"/>
      <c r="J675" s="24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1.25" customHeight="1">
      <c r="A676" s="289"/>
      <c r="B676" s="289"/>
      <c r="C676" s="289"/>
      <c r="D676" s="289"/>
      <c r="E676" s="290"/>
      <c r="F676" s="289"/>
      <c r="H676" s="38"/>
      <c r="I676" s="23"/>
      <c r="J676" s="24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1.25" customHeight="1">
      <c r="A677" s="289"/>
      <c r="B677" s="289"/>
      <c r="C677" s="289"/>
      <c r="D677" s="289"/>
      <c r="E677" s="290"/>
      <c r="F677" s="289"/>
      <c r="H677" s="38"/>
      <c r="I677" s="23"/>
      <c r="J677" s="24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1.25" customHeight="1">
      <c r="A678" s="289"/>
      <c r="B678" s="289"/>
      <c r="C678" s="289"/>
      <c r="D678" s="289"/>
      <c r="E678" s="290"/>
      <c r="F678" s="289"/>
      <c r="H678" s="38"/>
      <c r="I678" s="23"/>
      <c r="J678" s="24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1.25" customHeight="1">
      <c r="A679" s="289"/>
      <c r="B679" s="289"/>
      <c r="C679" s="289"/>
      <c r="D679" s="289"/>
      <c r="E679" s="290"/>
      <c r="F679" s="289"/>
      <c r="H679" s="38"/>
      <c r="I679" s="23"/>
      <c r="J679" s="24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1.25" customHeight="1">
      <c r="A680" s="289"/>
      <c r="B680" s="289"/>
      <c r="C680" s="289"/>
      <c r="D680" s="289"/>
      <c r="E680" s="290"/>
      <c r="F680" s="289"/>
      <c r="H680" s="38"/>
      <c r="I680" s="23"/>
      <c r="J680" s="24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1.25" customHeight="1">
      <c r="A681" s="289"/>
      <c r="B681" s="289"/>
      <c r="C681" s="289"/>
      <c r="D681" s="289"/>
      <c r="E681" s="290"/>
      <c r="F681" s="289"/>
      <c r="H681" s="38"/>
      <c r="I681" s="23"/>
      <c r="J681" s="24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1.25" customHeight="1">
      <c r="A682" s="289"/>
      <c r="B682" s="289"/>
      <c r="C682" s="289"/>
      <c r="D682" s="289"/>
      <c r="E682" s="290"/>
      <c r="F682" s="289"/>
      <c r="H682" s="38"/>
      <c r="I682" s="23"/>
      <c r="J682" s="24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1.25" customHeight="1">
      <c r="A683" s="289"/>
      <c r="B683" s="289"/>
      <c r="C683" s="289"/>
      <c r="D683" s="289"/>
      <c r="E683" s="290"/>
      <c r="F683" s="289"/>
      <c r="H683" s="38"/>
      <c r="I683" s="23"/>
      <c r="J683" s="24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1.25" customHeight="1">
      <c r="A684" s="289"/>
      <c r="B684" s="289"/>
      <c r="C684" s="289"/>
      <c r="D684" s="289"/>
      <c r="E684" s="290"/>
      <c r="F684" s="289"/>
      <c r="H684" s="38"/>
      <c r="I684" s="23"/>
      <c r="J684" s="24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1.25" customHeight="1">
      <c r="A685" s="289"/>
      <c r="B685" s="289"/>
      <c r="C685" s="289"/>
      <c r="D685" s="289"/>
      <c r="E685" s="290"/>
      <c r="F685" s="289"/>
      <c r="H685" s="38"/>
      <c r="I685" s="23"/>
      <c r="J685" s="24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1.25" customHeight="1">
      <c r="A686" s="289"/>
      <c r="B686" s="289"/>
      <c r="C686" s="289"/>
      <c r="D686" s="289"/>
      <c r="E686" s="290"/>
      <c r="F686" s="289"/>
      <c r="H686" s="38"/>
      <c r="I686" s="23"/>
      <c r="J686" s="24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1.25" customHeight="1">
      <c r="A687" s="289"/>
      <c r="B687" s="289"/>
      <c r="C687" s="289"/>
      <c r="D687" s="289"/>
      <c r="E687" s="290"/>
      <c r="F687" s="289"/>
      <c r="H687" s="38"/>
      <c r="I687" s="23"/>
      <c r="J687" s="24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1.25" customHeight="1">
      <c r="A688" s="289"/>
      <c r="B688" s="289"/>
      <c r="C688" s="289"/>
      <c r="D688" s="289"/>
      <c r="E688" s="290"/>
      <c r="F688" s="289"/>
      <c r="H688" s="38"/>
      <c r="I688" s="23"/>
      <c r="J688" s="24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1.25" customHeight="1">
      <c r="A689" s="289"/>
      <c r="B689" s="289"/>
      <c r="C689" s="289"/>
      <c r="D689" s="289"/>
      <c r="E689" s="290"/>
      <c r="F689" s="289"/>
      <c r="H689" s="38"/>
      <c r="I689" s="23"/>
      <c r="J689" s="24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1.25" customHeight="1">
      <c r="A690" s="289"/>
      <c r="B690" s="289"/>
      <c r="C690" s="289"/>
      <c r="D690" s="289"/>
      <c r="E690" s="290"/>
      <c r="F690" s="289"/>
      <c r="H690" s="38"/>
      <c r="I690" s="23"/>
      <c r="J690" s="24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1.25" customHeight="1">
      <c r="A691" s="289"/>
      <c r="B691" s="289"/>
      <c r="C691" s="289"/>
      <c r="D691" s="289"/>
      <c r="E691" s="290"/>
      <c r="F691" s="289"/>
      <c r="H691" s="38"/>
      <c r="I691" s="23"/>
      <c r="J691" s="24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1.25" customHeight="1">
      <c r="A692" s="289"/>
      <c r="B692" s="289"/>
      <c r="C692" s="289"/>
      <c r="D692" s="289"/>
      <c r="E692" s="290"/>
      <c r="F692" s="289"/>
      <c r="H692" s="38"/>
      <c r="I692" s="23"/>
      <c r="J692" s="24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1.25" customHeight="1">
      <c r="A693" s="289"/>
      <c r="B693" s="289"/>
      <c r="C693" s="289"/>
      <c r="D693" s="289"/>
      <c r="E693" s="290"/>
      <c r="F693" s="289"/>
      <c r="H693" s="38"/>
      <c r="I693" s="23"/>
      <c r="J693" s="24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1.25" customHeight="1">
      <c r="A694" s="289"/>
      <c r="B694" s="289"/>
      <c r="C694" s="289"/>
      <c r="D694" s="289"/>
      <c r="E694" s="290"/>
      <c r="F694" s="289"/>
      <c r="H694" s="38"/>
      <c r="I694" s="23"/>
      <c r="J694" s="24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1.25" customHeight="1">
      <c r="A695" s="289"/>
      <c r="B695" s="289"/>
      <c r="C695" s="289"/>
      <c r="D695" s="289"/>
      <c r="E695" s="290"/>
      <c r="F695" s="289"/>
      <c r="H695" s="38"/>
      <c r="I695" s="23"/>
      <c r="J695" s="24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1.25" customHeight="1">
      <c r="A696" s="289"/>
      <c r="B696" s="289"/>
      <c r="C696" s="289"/>
      <c r="D696" s="289"/>
      <c r="E696" s="290"/>
      <c r="F696" s="289"/>
      <c r="H696" s="38"/>
      <c r="I696" s="23"/>
      <c r="J696" s="24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1.25" customHeight="1">
      <c r="A697" s="289"/>
      <c r="B697" s="289"/>
      <c r="C697" s="289"/>
      <c r="D697" s="289"/>
      <c r="E697" s="290"/>
      <c r="F697" s="289"/>
      <c r="H697" s="38"/>
      <c r="I697" s="23"/>
      <c r="J697" s="24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1.25" customHeight="1">
      <c r="A698" s="289"/>
      <c r="B698" s="289"/>
      <c r="C698" s="289"/>
      <c r="D698" s="289"/>
      <c r="E698" s="290"/>
      <c r="F698" s="289"/>
      <c r="H698" s="38"/>
      <c r="I698" s="23"/>
      <c r="J698" s="24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1.25" customHeight="1">
      <c r="A699" s="289"/>
      <c r="B699" s="289"/>
      <c r="C699" s="289"/>
      <c r="D699" s="289"/>
      <c r="E699" s="290"/>
      <c r="F699" s="289"/>
      <c r="H699" s="38"/>
      <c r="I699" s="23"/>
      <c r="J699" s="24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1.25" customHeight="1">
      <c r="A700" s="289"/>
      <c r="B700" s="289"/>
      <c r="C700" s="289"/>
      <c r="D700" s="289"/>
      <c r="E700" s="290"/>
      <c r="F700" s="289"/>
      <c r="H700" s="38"/>
      <c r="I700" s="23"/>
      <c r="J700" s="24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1.25" customHeight="1">
      <c r="A701" s="289"/>
      <c r="B701" s="289"/>
      <c r="C701" s="289"/>
      <c r="D701" s="289"/>
      <c r="E701" s="290"/>
      <c r="F701" s="289"/>
      <c r="H701" s="38"/>
      <c r="I701" s="23"/>
      <c r="J701" s="24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1.25" customHeight="1">
      <c r="A702" s="289"/>
      <c r="B702" s="289"/>
      <c r="C702" s="289"/>
      <c r="D702" s="289"/>
      <c r="E702" s="290"/>
      <c r="F702" s="289"/>
      <c r="H702" s="38"/>
      <c r="I702" s="23"/>
      <c r="J702" s="24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1.25" customHeight="1">
      <c r="A703" s="289"/>
      <c r="B703" s="289"/>
      <c r="C703" s="289"/>
      <c r="D703" s="289"/>
      <c r="E703" s="290"/>
      <c r="F703" s="289"/>
      <c r="H703" s="38"/>
      <c r="I703" s="23"/>
      <c r="J703" s="24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1.25" customHeight="1">
      <c r="A704" s="289"/>
      <c r="B704" s="289"/>
      <c r="C704" s="289"/>
      <c r="D704" s="289"/>
      <c r="E704" s="290"/>
      <c r="F704" s="289"/>
      <c r="H704" s="38"/>
      <c r="I704" s="23"/>
      <c r="J704" s="24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1.25" customHeight="1">
      <c r="A705" s="289"/>
      <c r="B705" s="289"/>
      <c r="C705" s="289"/>
      <c r="D705" s="289"/>
      <c r="E705" s="290"/>
      <c r="F705" s="289"/>
      <c r="H705" s="38"/>
      <c r="I705" s="23"/>
      <c r="J705" s="24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1.25" customHeight="1">
      <c r="A706" s="289"/>
      <c r="B706" s="289"/>
      <c r="C706" s="289"/>
      <c r="D706" s="289"/>
      <c r="E706" s="290"/>
      <c r="F706" s="289"/>
      <c r="H706" s="38"/>
      <c r="I706" s="23"/>
      <c r="J706" s="24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1.25" customHeight="1">
      <c r="A707" s="289"/>
      <c r="B707" s="289"/>
      <c r="C707" s="289"/>
      <c r="D707" s="289"/>
      <c r="E707" s="290"/>
      <c r="F707" s="289"/>
      <c r="H707" s="38"/>
      <c r="I707" s="23"/>
      <c r="J707" s="24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1.25" customHeight="1">
      <c r="A708" s="289"/>
      <c r="B708" s="289"/>
      <c r="C708" s="289"/>
      <c r="D708" s="289"/>
      <c r="E708" s="290"/>
      <c r="F708" s="289"/>
      <c r="H708" s="38"/>
      <c r="I708" s="23"/>
      <c r="J708" s="24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1.25" customHeight="1">
      <c r="A709" s="289"/>
      <c r="B709" s="289"/>
      <c r="C709" s="289"/>
      <c r="D709" s="289"/>
      <c r="E709" s="290"/>
      <c r="F709" s="289"/>
      <c r="H709" s="38"/>
      <c r="I709" s="23"/>
      <c r="J709" s="24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1.25" customHeight="1">
      <c r="A710" s="289"/>
      <c r="B710" s="289"/>
      <c r="C710" s="289"/>
      <c r="D710" s="289"/>
      <c r="E710" s="290"/>
      <c r="F710" s="289"/>
      <c r="H710" s="38"/>
      <c r="I710" s="23"/>
      <c r="J710" s="24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1.25" customHeight="1">
      <c r="A711" s="289"/>
      <c r="B711" s="289"/>
      <c r="C711" s="289"/>
      <c r="D711" s="289"/>
      <c r="E711" s="290"/>
      <c r="F711" s="289"/>
      <c r="H711" s="38"/>
      <c r="I711" s="23"/>
      <c r="J711" s="24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1.25" customHeight="1">
      <c r="A712" s="289"/>
      <c r="B712" s="289"/>
      <c r="C712" s="289"/>
      <c r="D712" s="289"/>
      <c r="E712" s="290"/>
      <c r="F712" s="289"/>
      <c r="H712" s="38"/>
      <c r="I712" s="23"/>
      <c r="J712" s="24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1.25" customHeight="1">
      <c r="A713" s="289"/>
      <c r="B713" s="289"/>
      <c r="C713" s="289"/>
      <c r="D713" s="289"/>
      <c r="E713" s="290"/>
      <c r="F713" s="289"/>
      <c r="H713" s="38"/>
      <c r="I713" s="23"/>
      <c r="J713" s="24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1.25" customHeight="1">
      <c r="A714" s="289"/>
      <c r="B714" s="289"/>
      <c r="C714" s="289"/>
      <c r="D714" s="289"/>
      <c r="E714" s="290"/>
      <c r="F714" s="289"/>
      <c r="H714" s="38"/>
      <c r="I714" s="23"/>
      <c r="J714" s="24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1.25" customHeight="1">
      <c r="A715" s="289"/>
      <c r="B715" s="289"/>
      <c r="C715" s="289"/>
      <c r="D715" s="289"/>
      <c r="E715" s="290"/>
      <c r="F715" s="289"/>
      <c r="H715" s="38"/>
      <c r="I715" s="23"/>
      <c r="J715" s="24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1.25" customHeight="1">
      <c r="A716" s="289"/>
      <c r="B716" s="289"/>
      <c r="C716" s="289"/>
      <c r="D716" s="289"/>
      <c r="E716" s="290"/>
      <c r="F716" s="289"/>
      <c r="H716" s="38"/>
      <c r="I716" s="23"/>
      <c r="J716" s="24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1.25" customHeight="1">
      <c r="A717" s="289"/>
      <c r="B717" s="289"/>
      <c r="C717" s="289"/>
      <c r="D717" s="289"/>
      <c r="E717" s="290"/>
      <c r="F717" s="289"/>
      <c r="H717" s="38"/>
      <c r="I717" s="23"/>
      <c r="J717" s="24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1.25" customHeight="1">
      <c r="A718" s="289"/>
      <c r="B718" s="289"/>
      <c r="C718" s="289"/>
      <c r="D718" s="289"/>
      <c r="E718" s="290"/>
      <c r="F718" s="289"/>
      <c r="H718" s="38"/>
      <c r="I718" s="23"/>
      <c r="J718" s="24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1.25" customHeight="1">
      <c r="A719" s="289"/>
      <c r="B719" s="289"/>
      <c r="C719" s="289"/>
      <c r="D719" s="289"/>
      <c r="E719" s="290"/>
      <c r="F719" s="289"/>
      <c r="H719" s="38"/>
      <c r="I719" s="23"/>
      <c r="J719" s="24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1.25" customHeight="1">
      <c r="A720" s="289"/>
      <c r="B720" s="289"/>
      <c r="C720" s="289"/>
      <c r="D720" s="289"/>
      <c r="E720" s="290"/>
      <c r="F720" s="289"/>
      <c r="H720" s="38"/>
      <c r="I720" s="23"/>
      <c r="J720" s="24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1.25" customHeight="1">
      <c r="A721" s="289"/>
      <c r="B721" s="289"/>
      <c r="C721" s="289"/>
      <c r="D721" s="289"/>
      <c r="E721" s="290"/>
      <c r="F721" s="289"/>
      <c r="H721" s="38"/>
      <c r="I721" s="23"/>
      <c r="J721" s="24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1.25" customHeight="1">
      <c r="A722" s="289"/>
      <c r="B722" s="289"/>
      <c r="C722" s="289"/>
      <c r="D722" s="289"/>
      <c r="E722" s="290"/>
      <c r="F722" s="289"/>
      <c r="H722" s="38"/>
      <c r="I722" s="23"/>
      <c r="J722" s="24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1.25" customHeight="1">
      <c r="A723" s="289"/>
      <c r="B723" s="289"/>
      <c r="C723" s="289"/>
      <c r="D723" s="289"/>
      <c r="E723" s="290"/>
      <c r="F723" s="289"/>
      <c r="H723" s="38"/>
      <c r="I723" s="23"/>
      <c r="J723" s="24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1.25" customHeight="1">
      <c r="A724" s="289"/>
      <c r="B724" s="289"/>
      <c r="C724" s="289"/>
      <c r="D724" s="289"/>
      <c r="E724" s="290"/>
      <c r="F724" s="289"/>
      <c r="H724" s="38"/>
      <c r="I724" s="23"/>
      <c r="J724" s="24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1.25" customHeight="1">
      <c r="A725" s="289"/>
      <c r="B725" s="289"/>
      <c r="C725" s="289"/>
      <c r="D725" s="289"/>
      <c r="E725" s="290"/>
      <c r="F725" s="289"/>
      <c r="H725" s="38"/>
      <c r="I725" s="23"/>
      <c r="J725" s="24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1.25" customHeight="1">
      <c r="A726" s="289"/>
      <c r="B726" s="289"/>
      <c r="C726" s="289"/>
      <c r="D726" s="289"/>
      <c r="E726" s="290"/>
      <c r="F726" s="289"/>
      <c r="H726" s="38"/>
      <c r="I726" s="23"/>
      <c r="J726" s="24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1.25" customHeight="1">
      <c r="A727" s="289"/>
      <c r="B727" s="289"/>
      <c r="C727" s="289"/>
      <c r="D727" s="289"/>
      <c r="E727" s="290"/>
      <c r="F727" s="289"/>
      <c r="H727" s="38"/>
      <c r="I727" s="23"/>
      <c r="J727" s="24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1.25" customHeight="1">
      <c r="A728" s="289"/>
      <c r="B728" s="289"/>
      <c r="C728" s="289"/>
      <c r="D728" s="289"/>
      <c r="E728" s="290"/>
      <c r="F728" s="289"/>
      <c r="H728" s="38"/>
      <c r="I728" s="23"/>
      <c r="J728" s="24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1.25" customHeight="1">
      <c r="A729" s="289"/>
      <c r="B729" s="289"/>
      <c r="C729" s="289"/>
      <c r="D729" s="289"/>
      <c r="E729" s="290"/>
      <c r="F729" s="289"/>
      <c r="H729" s="38"/>
      <c r="I729" s="23"/>
      <c r="J729" s="24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1.25" customHeight="1">
      <c r="A730" s="289"/>
      <c r="B730" s="289"/>
      <c r="C730" s="289"/>
      <c r="D730" s="289"/>
      <c r="E730" s="290"/>
      <c r="F730" s="289"/>
      <c r="H730" s="38"/>
      <c r="I730" s="23"/>
      <c r="J730" s="24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1.25" customHeight="1">
      <c r="A731" s="289"/>
      <c r="B731" s="289"/>
      <c r="C731" s="289"/>
      <c r="D731" s="289"/>
      <c r="E731" s="290"/>
      <c r="F731" s="289"/>
      <c r="H731" s="38"/>
      <c r="I731" s="23"/>
      <c r="J731" s="24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1.25" customHeight="1">
      <c r="A732" s="289"/>
      <c r="B732" s="289"/>
      <c r="C732" s="289"/>
      <c r="D732" s="289"/>
      <c r="E732" s="290"/>
      <c r="F732" s="289"/>
      <c r="H732" s="38"/>
      <c r="I732" s="23"/>
      <c r="J732" s="24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1.25" customHeight="1">
      <c r="A733" s="289"/>
      <c r="B733" s="289"/>
      <c r="C733" s="289"/>
      <c r="D733" s="289"/>
      <c r="E733" s="290"/>
      <c r="F733" s="289"/>
      <c r="H733" s="38"/>
      <c r="I733" s="23"/>
      <c r="J733" s="24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1.25" customHeight="1">
      <c r="A734" s="289"/>
      <c r="B734" s="289"/>
      <c r="C734" s="289"/>
      <c r="D734" s="289"/>
      <c r="E734" s="290"/>
      <c r="F734" s="289"/>
      <c r="H734" s="38"/>
      <c r="I734" s="23"/>
      <c r="J734" s="24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1.25" customHeight="1">
      <c r="A735" s="289"/>
      <c r="B735" s="289"/>
      <c r="C735" s="289"/>
      <c r="D735" s="289"/>
      <c r="E735" s="290"/>
      <c r="F735" s="289"/>
      <c r="H735" s="38"/>
      <c r="I735" s="23"/>
      <c r="J735" s="24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1.25" customHeight="1">
      <c r="A736" s="289"/>
      <c r="B736" s="289"/>
      <c r="C736" s="289"/>
      <c r="D736" s="289"/>
      <c r="E736" s="290"/>
      <c r="F736" s="289"/>
      <c r="H736" s="38"/>
      <c r="I736" s="23"/>
      <c r="J736" s="24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1.25" customHeight="1">
      <c r="A737" s="289"/>
      <c r="B737" s="289"/>
      <c r="C737" s="289"/>
      <c r="D737" s="289"/>
      <c r="E737" s="290"/>
      <c r="F737" s="289"/>
      <c r="H737" s="38"/>
      <c r="I737" s="23"/>
      <c r="J737" s="24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1.25" customHeight="1">
      <c r="A738" s="289"/>
      <c r="B738" s="289"/>
      <c r="C738" s="289"/>
      <c r="D738" s="289"/>
      <c r="E738" s="290"/>
      <c r="F738" s="289"/>
      <c r="H738" s="38"/>
      <c r="I738" s="23"/>
      <c r="J738" s="24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1.25" customHeight="1">
      <c r="A739" s="289"/>
      <c r="B739" s="289"/>
      <c r="C739" s="289"/>
      <c r="D739" s="289"/>
      <c r="E739" s="290"/>
      <c r="F739" s="289"/>
      <c r="H739" s="38"/>
      <c r="I739" s="23"/>
      <c r="J739" s="24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1.25" customHeight="1">
      <c r="A740" s="289"/>
      <c r="B740" s="289"/>
      <c r="C740" s="289"/>
      <c r="D740" s="289"/>
      <c r="E740" s="290"/>
      <c r="F740" s="289"/>
      <c r="H740" s="38"/>
      <c r="I740" s="23"/>
      <c r="J740" s="24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1.25" customHeight="1">
      <c r="A741" s="289"/>
      <c r="B741" s="289"/>
      <c r="C741" s="289"/>
      <c r="D741" s="289"/>
      <c r="E741" s="290"/>
      <c r="F741" s="289"/>
      <c r="H741" s="38"/>
      <c r="I741" s="23"/>
      <c r="J741" s="24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1.25" customHeight="1">
      <c r="A742" s="289"/>
      <c r="B742" s="289"/>
      <c r="C742" s="289"/>
      <c r="D742" s="289"/>
      <c r="E742" s="290"/>
      <c r="F742" s="289"/>
      <c r="H742" s="38"/>
      <c r="I742" s="23"/>
      <c r="J742" s="24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1.25" customHeight="1">
      <c r="A743" s="289"/>
      <c r="B743" s="289"/>
      <c r="C743" s="289"/>
      <c r="D743" s="289"/>
      <c r="E743" s="290"/>
      <c r="F743" s="289"/>
      <c r="H743" s="38"/>
      <c r="I743" s="23"/>
      <c r="J743" s="24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1.25" customHeight="1">
      <c r="A744" s="289"/>
      <c r="B744" s="289"/>
      <c r="C744" s="289"/>
      <c r="D744" s="289"/>
      <c r="E744" s="290"/>
      <c r="F744" s="289"/>
      <c r="H744" s="38"/>
      <c r="I744" s="23"/>
      <c r="J744" s="24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1.25" customHeight="1">
      <c r="A745" s="289"/>
      <c r="B745" s="289"/>
      <c r="C745" s="289"/>
      <c r="D745" s="289"/>
      <c r="E745" s="290"/>
      <c r="F745" s="289"/>
      <c r="H745" s="38"/>
      <c r="I745" s="23"/>
      <c r="J745" s="24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1.25" customHeight="1">
      <c r="A746" s="289"/>
      <c r="B746" s="289"/>
      <c r="C746" s="289"/>
      <c r="D746" s="289"/>
      <c r="E746" s="290"/>
      <c r="F746" s="289"/>
      <c r="H746" s="38"/>
      <c r="I746" s="23"/>
      <c r="J746" s="24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1.25" customHeight="1">
      <c r="A747" s="289"/>
      <c r="B747" s="289"/>
      <c r="C747" s="289"/>
      <c r="D747" s="289"/>
      <c r="E747" s="290"/>
      <c r="F747" s="289"/>
      <c r="H747" s="38"/>
      <c r="I747" s="23"/>
      <c r="J747" s="24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1.25" customHeight="1">
      <c r="A748" s="289"/>
      <c r="B748" s="289"/>
      <c r="C748" s="289"/>
      <c r="D748" s="289"/>
      <c r="E748" s="290"/>
      <c r="F748" s="289"/>
      <c r="H748" s="38"/>
      <c r="I748" s="23"/>
      <c r="J748" s="24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1.25" customHeight="1">
      <c r="A749" s="289"/>
      <c r="B749" s="289"/>
      <c r="C749" s="289"/>
      <c r="D749" s="289"/>
      <c r="E749" s="290"/>
      <c r="F749" s="289"/>
      <c r="H749" s="38"/>
      <c r="I749" s="23"/>
      <c r="J749" s="24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1.25" customHeight="1">
      <c r="A750" s="289"/>
      <c r="B750" s="289"/>
      <c r="C750" s="289"/>
      <c r="D750" s="289"/>
      <c r="E750" s="290"/>
      <c r="F750" s="289"/>
      <c r="H750" s="38"/>
      <c r="I750" s="23"/>
      <c r="J750" s="24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1.25" customHeight="1">
      <c r="A751" s="289"/>
      <c r="B751" s="289"/>
      <c r="C751" s="289"/>
      <c r="D751" s="289"/>
      <c r="E751" s="290"/>
      <c r="F751" s="289"/>
      <c r="H751" s="38"/>
      <c r="I751" s="23"/>
      <c r="J751" s="24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1.25" customHeight="1">
      <c r="A752" s="289"/>
      <c r="B752" s="289"/>
      <c r="C752" s="289"/>
      <c r="D752" s="289"/>
      <c r="E752" s="290"/>
      <c r="F752" s="289"/>
      <c r="H752" s="38"/>
      <c r="I752" s="23"/>
      <c r="J752" s="24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1.25" customHeight="1">
      <c r="A753" s="289"/>
      <c r="B753" s="289"/>
      <c r="C753" s="289"/>
      <c r="D753" s="289"/>
      <c r="E753" s="290"/>
      <c r="F753" s="289"/>
      <c r="H753" s="38"/>
      <c r="I753" s="23"/>
      <c r="J753" s="24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1.25" customHeight="1">
      <c r="A754" s="289"/>
      <c r="B754" s="289"/>
      <c r="C754" s="289"/>
      <c r="D754" s="289"/>
      <c r="E754" s="290"/>
      <c r="F754" s="289"/>
      <c r="H754" s="38"/>
      <c r="I754" s="23"/>
      <c r="J754" s="24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1.25" customHeight="1">
      <c r="A755" s="289"/>
      <c r="B755" s="289"/>
      <c r="C755" s="289"/>
      <c r="D755" s="289"/>
      <c r="E755" s="290"/>
      <c r="F755" s="289"/>
      <c r="H755" s="38"/>
      <c r="I755" s="23"/>
      <c r="J755" s="24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1.25" customHeight="1">
      <c r="A756" s="289"/>
      <c r="B756" s="289"/>
      <c r="C756" s="289"/>
      <c r="D756" s="289"/>
      <c r="E756" s="290"/>
      <c r="F756" s="289"/>
      <c r="H756" s="38"/>
      <c r="I756" s="23"/>
      <c r="J756" s="24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1.25" customHeight="1">
      <c r="A757" s="289"/>
      <c r="B757" s="289"/>
      <c r="C757" s="289"/>
      <c r="D757" s="289"/>
      <c r="E757" s="290"/>
      <c r="F757" s="289"/>
      <c r="H757" s="38"/>
      <c r="I757" s="23"/>
      <c r="J757" s="24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1.25" customHeight="1">
      <c r="A758" s="289"/>
      <c r="B758" s="289"/>
      <c r="C758" s="289"/>
      <c r="D758" s="289"/>
      <c r="E758" s="290"/>
      <c r="F758" s="289"/>
      <c r="H758" s="38"/>
      <c r="I758" s="23"/>
      <c r="J758" s="24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1.25" customHeight="1">
      <c r="A759" s="289"/>
      <c r="B759" s="289"/>
      <c r="C759" s="289"/>
      <c r="D759" s="289"/>
      <c r="E759" s="290"/>
      <c r="F759" s="289"/>
      <c r="H759" s="38"/>
      <c r="I759" s="23"/>
      <c r="J759" s="24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1.25" customHeight="1">
      <c r="A760" s="289"/>
      <c r="B760" s="289"/>
      <c r="C760" s="289"/>
      <c r="D760" s="289"/>
      <c r="E760" s="290"/>
      <c r="F760" s="289"/>
      <c r="H760" s="38"/>
      <c r="I760" s="23"/>
      <c r="J760" s="24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1.25" customHeight="1">
      <c r="A761" s="289"/>
      <c r="B761" s="289"/>
      <c r="C761" s="289"/>
      <c r="D761" s="289"/>
      <c r="E761" s="290"/>
      <c r="F761" s="289"/>
      <c r="H761" s="38"/>
      <c r="I761" s="23"/>
      <c r="J761" s="24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1.25" customHeight="1">
      <c r="A762" s="289"/>
      <c r="B762" s="289"/>
      <c r="C762" s="289"/>
      <c r="D762" s="289"/>
      <c r="E762" s="290"/>
      <c r="F762" s="289"/>
      <c r="H762" s="38"/>
      <c r="I762" s="23"/>
      <c r="J762" s="24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1.25" customHeight="1">
      <c r="A763" s="289"/>
      <c r="B763" s="289"/>
      <c r="C763" s="289"/>
      <c r="D763" s="289"/>
      <c r="E763" s="290"/>
      <c r="F763" s="289"/>
      <c r="H763" s="38"/>
      <c r="I763" s="23"/>
      <c r="J763" s="24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1.25" customHeight="1">
      <c r="A764" s="289"/>
      <c r="B764" s="289"/>
      <c r="C764" s="289"/>
      <c r="D764" s="289"/>
      <c r="E764" s="290"/>
      <c r="F764" s="289"/>
      <c r="H764" s="38"/>
      <c r="I764" s="23"/>
      <c r="J764" s="24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1.25" customHeight="1">
      <c r="A765" s="289"/>
      <c r="B765" s="289"/>
      <c r="C765" s="289"/>
      <c r="D765" s="289"/>
      <c r="E765" s="290"/>
      <c r="F765" s="289"/>
      <c r="H765" s="38"/>
      <c r="I765" s="23"/>
      <c r="J765" s="24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1.25" customHeight="1">
      <c r="A766" s="289"/>
      <c r="B766" s="289"/>
      <c r="C766" s="289"/>
      <c r="D766" s="289"/>
      <c r="E766" s="290"/>
      <c r="F766" s="289"/>
      <c r="H766" s="38"/>
      <c r="I766" s="23"/>
      <c r="J766" s="24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1.25" customHeight="1">
      <c r="A767" s="289"/>
      <c r="B767" s="289"/>
      <c r="C767" s="289"/>
      <c r="D767" s="289"/>
      <c r="E767" s="290"/>
      <c r="F767" s="289"/>
      <c r="H767" s="38"/>
      <c r="I767" s="23"/>
      <c r="J767" s="24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1.25" customHeight="1">
      <c r="A768" s="289"/>
      <c r="B768" s="289"/>
      <c r="C768" s="289"/>
      <c r="D768" s="289"/>
      <c r="E768" s="290"/>
      <c r="F768" s="289"/>
      <c r="H768" s="38"/>
      <c r="I768" s="23"/>
      <c r="J768" s="24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1.25" customHeight="1">
      <c r="A769" s="289"/>
      <c r="B769" s="289"/>
      <c r="C769" s="289"/>
      <c r="D769" s="289"/>
      <c r="E769" s="290"/>
      <c r="F769" s="289"/>
      <c r="H769" s="38"/>
      <c r="I769" s="23"/>
      <c r="J769" s="24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1.25" customHeight="1">
      <c r="A770" s="289"/>
      <c r="B770" s="289"/>
      <c r="C770" s="289"/>
      <c r="D770" s="289"/>
      <c r="E770" s="290"/>
      <c r="F770" s="289"/>
      <c r="H770" s="38"/>
      <c r="I770" s="23"/>
      <c r="J770" s="24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1.25" customHeight="1">
      <c r="A771" s="289"/>
      <c r="B771" s="289"/>
      <c r="C771" s="289"/>
      <c r="D771" s="289"/>
      <c r="E771" s="290"/>
      <c r="F771" s="289"/>
      <c r="H771" s="38"/>
      <c r="I771" s="23"/>
      <c r="J771" s="24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1.25" customHeight="1">
      <c r="A772" s="289"/>
      <c r="B772" s="289"/>
      <c r="C772" s="289"/>
      <c r="D772" s="289"/>
      <c r="E772" s="290"/>
      <c r="F772" s="289"/>
      <c r="H772" s="38"/>
      <c r="I772" s="23"/>
      <c r="J772" s="24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1.25" customHeight="1">
      <c r="A773" s="289"/>
      <c r="B773" s="289"/>
      <c r="C773" s="289"/>
      <c r="D773" s="289"/>
      <c r="E773" s="290"/>
      <c r="F773" s="289"/>
      <c r="H773" s="38"/>
      <c r="I773" s="23"/>
      <c r="J773" s="24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1.25" customHeight="1">
      <c r="A774" s="289"/>
      <c r="B774" s="289"/>
      <c r="C774" s="289"/>
      <c r="D774" s="289"/>
      <c r="E774" s="290"/>
      <c r="F774" s="289"/>
      <c r="H774" s="38"/>
      <c r="I774" s="23"/>
      <c r="J774" s="24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1.25" customHeight="1">
      <c r="A775" s="289"/>
      <c r="B775" s="289"/>
      <c r="C775" s="289"/>
      <c r="D775" s="289"/>
      <c r="E775" s="290"/>
      <c r="F775" s="289"/>
      <c r="H775" s="38"/>
      <c r="I775" s="23"/>
      <c r="J775" s="24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1.25" customHeight="1">
      <c r="A776" s="289"/>
      <c r="B776" s="289"/>
      <c r="C776" s="289"/>
      <c r="D776" s="289"/>
      <c r="E776" s="290"/>
      <c r="F776" s="289"/>
      <c r="H776" s="38"/>
      <c r="I776" s="23"/>
      <c r="J776" s="24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1.25" customHeight="1">
      <c r="A777" s="289"/>
      <c r="B777" s="289"/>
      <c r="C777" s="289"/>
      <c r="D777" s="289"/>
      <c r="E777" s="290"/>
      <c r="F777" s="289"/>
      <c r="H777" s="38"/>
      <c r="I777" s="23"/>
      <c r="J777" s="24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1.25" customHeight="1">
      <c r="A778" s="289"/>
      <c r="B778" s="289"/>
      <c r="C778" s="289"/>
      <c r="D778" s="289"/>
      <c r="E778" s="290"/>
      <c r="F778" s="289"/>
      <c r="H778" s="38"/>
      <c r="I778" s="23"/>
      <c r="J778" s="24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1.25" customHeight="1">
      <c r="A779" s="289"/>
      <c r="B779" s="289"/>
      <c r="C779" s="289"/>
      <c r="D779" s="289"/>
      <c r="E779" s="290"/>
      <c r="F779" s="289"/>
      <c r="H779" s="38"/>
      <c r="I779" s="23"/>
      <c r="J779" s="24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1.25" customHeight="1">
      <c r="A780" s="289"/>
      <c r="B780" s="289"/>
      <c r="C780" s="289"/>
      <c r="D780" s="289"/>
      <c r="E780" s="290"/>
      <c r="F780" s="289"/>
      <c r="H780" s="38"/>
      <c r="I780" s="23"/>
      <c r="J780" s="24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1.25" customHeight="1">
      <c r="A781" s="289"/>
      <c r="B781" s="289"/>
      <c r="C781" s="289"/>
      <c r="D781" s="289"/>
      <c r="E781" s="290"/>
      <c r="F781" s="289"/>
      <c r="H781" s="38"/>
      <c r="I781" s="23"/>
      <c r="J781" s="24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1.25" customHeight="1">
      <c r="A782" s="289"/>
      <c r="B782" s="289"/>
      <c r="C782" s="289"/>
      <c r="D782" s="289"/>
      <c r="E782" s="290"/>
      <c r="F782" s="289"/>
      <c r="H782" s="38"/>
      <c r="I782" s="23"/>
      <c r="J782" s="24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1.25" customHeight="1">
      <c r="A783" s="289"/>
      <c r="B783" s="289"/>
      <c r="C783" s="289"/>
      <c r="D783" s="289"/>
      <c r="E783" s="290"/>
      <c r="F783" s="289"/>
      <c r="H783" s="38"/>
      <c r="I783" s="23"/>
      <c r="J783" s="24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1.25" customHeight="1">
      <c r="A784" s="289"/>
      <c r="B784" s="289"/>
      <c r="C784" s="289"/>
      <c r="D784" s="289"/>
      <c r="E784" s="290"/>
      <c r="F784" s="289"/>
      <c r="H784" s="38"/>
      <c r="I784" s="23"/>
      <c r="J784" s="24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1.25" customHeight="1">
      <c r="A785" s="289"/>
      <c r="B785" s="289"/>
      <c r="C785" s="289"/>
      <c r="D785" s="289"/>
      <c r="E785" s="290"/>
      <c r="F785" s="289"/>
      <c r="H785" s="38"/>
      <c r="I785" s="23"/>
      <c r="J785" s="24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1.25" customHeight="1">
      <c r="A786" s="289"/>
      <c r="B786" s="289"/>
      <c r="C786" s="289"/>
      <c r="D786" s="289"/>
      <c r="E786" s="290"/>
      <c r="F786" s="289"/>
      <c r="H786" s="38"/>
      <c r="I786" s="23"/>
      <c r="J786" s="24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1.25" customHeight="1">
      <c r="A787" s="289"/>
      <c r="B787" s="289"/>
      <c r="C787" s="289"/>
      <c r="D787" s="289"/>
      <c r="E787" s="290"/>
      <c r="F787" s="289"/>
      <c r="H787" s="38"/>
      <c r="I787" s="23"/>
      <c r="J787" s="24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1.25" customHeight="1">
      <c r="A788" s="289"/>
      <c r="B788" s="289"/>
      <c r="C788" s="289"/>
      <c r="D788" s="289"/>
      <c r="E788" s="290"/>
      <c r="F788" s="289"/>
      <c r="H788" s="38"/>
      <c r="I788" s="23"/>
      <c r="J788" s="24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1.25" customHeight="1">
      <c r="A789" s="289"/>
      <c r="B789" s="289"/>
      <c r="C789" s="289"/>
      <c r="D789" s="289"/>
      <c r="E789" s="290"/>
      <c r="F789" s="289"/>
      <c r="H789" s="38"/>
      <c r="I789" s="23"/>
      <c r="J789" s="24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1.25" customHeight="1">
      <c r="A790" s="289"/>
      <c r="B790" s="289"/>
      <c r="C790" s="289"/>
      <c r="D790" s="289"/>
      <c r="E790" s="290"/>
      <c r="F790" s="289"/>
      <c r="H790" s="38"/>
      <c r="I790" s="23"/>
      <c r="J790" s="24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1.25" customHeight="1">
      <c r="A791" s="289"/>
      <c r="B791" s="289"/>
      <c r="C791" s="289"/>
      <c r="D791" s="289"/>
      <c r="E791" s="290"/>
      <c r="F791" s="289"/>
      <c r="H791" s="38"/>
      <c r="I791" s="23"/>
      <c r="J791" s="24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1.25" customHeight="1">
      <c r="A792" s="289"/>
      <c r="B792" s="289"/>
      <c r="C792" s="289"/>
      <c r="D792" s="289"/>
      <c r="E792" s="290"/>
      <c r="F792" s="289"/>
      <c r="H792" s="38"/>
      <c r="I792" s="23"/>
      <c r="J792" s="24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1.25" customHeight="1">
      <c r="A793" s="289"/>
      <c r="B793" s="289"/>
      <c r="C793" s="289"/>
      <c r="D793" s="289"/>
      <c r="E793" s="290"/>
      <c r="F793" s="289"/>
      <c r="H793" s="38"/>
      <c r="I793" s="23"/>
      <c r="J793" s="24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1.25" customHeight="1">
      <c r="A794" s="289"/>
      <c r="B794" s="289"/>
      <c r="C794" s="289"/>
      <c r="D794" s="289"/>
      <c r="E794" s="290"/>
      <c r="F794" s="289"/>
      <c r="H794" s="38"/>
      <c r="I794" s="23"/>
      <c r="J794" s="24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1.25" customHeight="1">
      <c r="A795" s="289"/>
      <c r="B795" s="289"/>
      <c r="C795" s="289"/>
      <c r="D795" s="289"/>
      <c r="E795" s="290"/>
      <c r="F795" s="289"/>
      <c r="H795" s="38"/>
      <c r="I795" s="23"/>
      <c r="J795" s="24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1.25" customHeight="1">
      <c r="A796" s="289"/>
      <c r="B796" s="289"/>
      <c r="C796" s="289"/>
      <c r="D796" s="289"/>
      <c r="E796" s="290"/>
      <c r="F796" s="289"/>
      <c r="H796" s="38"/>
      <c r="I796" s="23"/>
      <c r="J796" s="24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1.25" customHeight="1">
      <c r="A797" s="289"/>
      <c r="B797" s="289"/>
      <c r="C797" s="289"/>
      <c r="D797" s="289"/>
      <c r="E797" s="290"/>
      <c r="F797" s="289"/>
      <c r="H797" s="38"/>
      <c r="I797" s="23"/>
      <c r="J797" s="24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1.25" customHeight="1">
      <c r="A798" s="289"/>
      <c r="B798" s="289"/>
      <c r="C798" s="289"/>
      <c r="D798" s="289"/>
      <c r="E798" s="290"/>
      <c r="F798" s="289"/>
      <c r="H798" s="38"/>
      <c r="I798" s="23"/>
      <c r="J798" s="24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1.25" customHeight="1">
      <c r="A799" s="289"/>
      <c r="B799" s="289"/>
      <c r="C799" s="289"/>
      <c r="D799" s="289"/>
      <c r="E799" s="290"/>
      <c r="F799" s="289"/>
      <c r="H799" s="38"/>
      <c r="I799" s="23"/>
      <c r="J799" s="24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1.25" customHeight="1">
      <c r="A800" s="289"/>
      <c r="B800" s="289"/>
      <c r="C800" s="289"/>
      <c r="D800" s="289"/>
      <c r="E800" s="290"/>
      <c r="F800" s="289"/>
      <c r="H800" s="38"/>
      <c r="I800" s="23"/>
      <c r="J800" s="24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1.25" customHeight="1">
      <c r="A801" s="289"/>
      <c r="B801" s="289"/>
      <c r="C801" s="289"/>
      <c r="D801" s="289"/>
      <c r="E801" s="290"/>
      <c r="F801" s="289"/>
      <c r="H801" s="38"/>
      <c r="I801" s="23"/>
      <c r="J801" s="24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1.25" customHeight="1">
      <c r="A802" s="289"/>
      <c r="B802" s="289"/>
      <c r="C802" s="289"/>
      <c r="D802" s="289"/>
      <c r="E802" s="290"/>
      <c r="F802" s="289"/>
      <c r="H802" s="38"/>
      <c r="I802" s="23"/>
      <c r="J802" s="24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1.25" customHeight="1">
      <c r="A803" s="289"/>
      <c r="B803" s="289"/>
      <c r="C803" s="289"/>
      <c r="D803" s="289"/>
      <c r="E803" s="290"/>
      <c r="F803" s="289"/>
      <c r="H803" s="38"/>
      <c r="I803" s="23"/>
      <c r="J803" s="24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1.25" customHeight="1">
      <c r="A804" s="289"/>
      <c r="B804" s="289"/>
      <c r="C804" s="289"/>
      <c r="D804" s="289"/>
      <c r="E804" s="290"/>
      <c r="F804" s="289"/>
      <c r="H804" s="38"/>
      <c r="I804" s="23"/>
      <c r="J804" s="24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1.25" customHeight="1">
      <c r="A805" s="289"/>
      <c r="B805" s="289"/>
      <c r="C805" s="289"/>
      <c r="D805" s="289"/>
      <c r="E805" s="290"/>
      <c r="F805" s="289"/>
      <c r="H805" s="38"/>
      <c r="I805" s="23"/>
      <c r="J805" s="24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1.25" customHeight="1">
      <c r="A806" s="289"/>
      <c r="B806" s="289"/>
      <c r="C806" s="289"/>
      <c r="D806" s="289"/>
      <c r="E806" s="290"/>
      <c r="F806" s="289"/>
      <c r="H806" s="38"/>
      <c r="I806" s="23"/>
      <c r="J806" s="24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1.25" customHeight="1">
      <c r="A807" s="289"/>
      <c r="B807" s="289"/>
      <c r="C807" s="289"/>
      <c r="D807" s="289"/>
      <c r="E807" s="290"/>
      <c r="F807" s="289"/>
      <c r="H807" s="38"/>
      <c r="I807" s="23"/>
      <c r="J807" s="24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1.25" customHeight="1">
      <c r="A808" s="289"/>
      <c r="B808" s="289"/>
      <c r="C808" s="289"/>
      <c r="D808" s="289"/>
      <c r="E808" s="290"/>
      <c r="F808" s="289"/>
      <c r="H808" s="38"/>
      <c r="I808" s="23"/>
      <c r="J808" s="24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1.25" customHeight="1">
      <c r="A809" s="289"/>
      <c r="B809" s="289"/>
      <c r="C809" s="289"/>
      <c r="D809" s="289"/>
      <c r="E809" s="290"/>
      <c r="F809" s="289"/>
      <c r="H809" s="38"/>
      <c r="I809" s="23"/>
      <c r="J809" s="24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1.25" customHeight="1">
      <c r="A810" s="289"/>
      <c r="B810" s="289"/>
      <c r="C810" s="289"/>
      <c r="D810" s="289"/>
      <c r="E810" s="290"/>
      <c r="F810" s="289"/>
      <c r="H810" s="38"/>
      <c r="I810" s="23"/>
      <c r="J810" s="24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1.25" customHeight="1">
      <c r="A811" s="289"/>
      <c r="B811" s="289"/>
      <c r="C811" s="289"/>
      <c r="D811" s="289"/>
      <c r="E811" s="290"/>
      <c r="F811" s="289"/>
      <c r="H811" s="38"/>
      <c r="I811" s="23"/>
      <c r="J811" s="24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1.25" customHeight="1">
      <c r="A812" s="289"/>
      <c r="B812" s="289"/>
      <c r="C812" s="289"/>
      <c r="D812" s="289"/>
      <c r="E812" s="290"/>
      <c r="F812" s="289"/>
      <c r="H812" s="38"/>
      <c r="I812" s="23"/>
      <c r="J812" s="24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1.25" customHeight="1">
      <c r="A813" s="289"/>
      <c r="B813" s="289"/>
      <c r="C813" s="289"/>
      <c r="D813" s="289"/>
      <c r="E813" s="290"/>
      <c r="F813" s="289"/>
      <c r="H813" s="38"/>
      <c r="I813" s="23"/>
      <c r="J813" s="24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1.25" customHeight="1">
      <c r="A814" s="289"/>
      <c r="B814" s="289"/>
      <c r="C814" s="289"/>
      <c r="D814" s="289"/>
      <c r="E814" s="290"/>
      <c r="F814" s="289"/>
      <c r="H814" s="38"/>
      <c r="I814" s="23"/>
      <c r="J814" s="24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1.25" customHeight="1">
      <c r="A815" s="289"/>
      <c r="B815" s="289"/>
      <c r="C815" s="289"/>
      <c r="D815" s="289"/>
      <c r="E815" s="290"/>
      <c r="F815" s="289"/>
      <c r="H815" s="38"/>
      <c r="I815" s="23"/>
      <c r="J815" s="24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1.25" customHeight="1">
      <c r="A816" s="289"/>
      <c r="B816" s="289"/>
      <c r="C816" s="289"/>
      <c r="D816" s="289"/>
      <c r="E816" s="290"/>
      <c r="F816" s="289"/>
      <c r="H816" s="38"/>
      <c r="I816" s="23"/>
      <c r="J816" s="24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1.25" customHeight="1">
      <c r="A817" s="289"/>
      <c r="B817" s="289"/>
      <c r="C817" s="289"/>
      <c r="D817" s="289"/>
      <c r="E817" s="290"/>
      <c r="F817" s="289"/>
      <c r="H817" s="38"/>
      <c r="I817" s="23"/>
      <c r="J817" s="24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1.25" customHeight="1">
      <c r="A818" s="289"/>
      <c r="B818" s="289"/>
      <c r="C818" s="289"/>
      <c r="D818" s="289"/>
      <c r="E818" s="290"/>
      <c r="F818" s="289"/>
      <c r="H818" s="38"/>
      <c r="I818" s="23"/>
      <c r="J818" s="24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1.25" customHeight="1">
      <c r="A819" s="289"/>
      <c r="B819" s="289"/>
      <c r="C819" s="289"/>
      <c r="D819" s="289"/>
      <c r="E819" s="290"/>
      <c r="F819" s="289"/>
      <c r="H819" s="38"/>
      <c r="I819" s="23"/>
      <c r="J819" s="24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1.25" customHeight="1">
      <c r="A820" s="289"/>
      <c r="B820" s="289"/>
      <c r="C820" s="289"/>
      <c r="D820" s="289"/>
      <c r="E820" s="290"/>
      <c r="F820" s="289"/>
      <c r="H820" s="38"/>
      <c r="I820" s="23"/>
      <c r="J820" s="24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1.25" customHeight="1">
      <c r="A821" s="289"/>
      <c r="B821" s="289"/>
      <c r="C821" s="289"/>
      <c r="D821" s="289"/>
      <c r="E821" s="290"/>
      <c r="F821" s="289"/>
      <c r="H821" s="38"/>
      <c r="I821" s="23"/>
      <c r="J821" s="24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1.25" customHeight="1">
      <c r="A822" s="289"/>
      <c r="B822" s="289"/>
      <c r="C822" s="289"/>
      <c r="D822" s="289"/>
      <c r="E822" s="290"/>
      <c r="F822" s="289"/>
      <c r="H822" s="38"/>
      <c r="I822" s="23"/>
      <c r="J822" s="24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1.25" customHeight="1">
      <c r="A823" s="289"/>
      <c r="B823" s="289"/>
      <c r="C823" s="289"/>
      <c r="D823" s="289"/>
      <c r="E823" s="290"/>
      <c r="F823" s="289"/>
      <c r="H823" s="38"/>
      <c r="I823" s="23"/>
      <c r="J823" s="24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1.25" customHeight="1">
      <c r="A824" s="289"/>
      <c r="B824" s="289"/>
      <c r="C824" s="289"/>
      <c r="D824" s="289"/>
      <c r="E824" s="290"/>
      <c r="F824" s="289"/>
      <c r="H824" s="38"/>
      <c r="I824" s="23"/>
      <c r="J824" s="24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1.25" customHeight="1">
      <c r="A825" s="289"/>
      <c r="B825" s="289"/>
      <c r="C825" s="289"/>
      <c r="D825" s="289"/>
      <c r="E825" s="290"/>
      <c r="F825" s="289"/>
      <c r="H825" s="38"/>
      <c r="I825" s="23"/>
      <c r="J825" s="24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1.25" customHeight="1">
      <c r="A826" s="289"/>
      <c r="B826" s="289"/>
      <c r="C826" s="289"/>
      <c r="D826" s="289"/>
      <c r="E826" s="290"/>
      <c r="F826" s="289"/>
      <c r="H826" s="38"/>
      <c r="I826" s="23"/>
      <c r="J826" s="24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1.25" customHeight="1">
      <c r="A827" s="289"/>
      <c r="B827" s="289"/>
      <c r="C827" s="289"/>
      <c r="D827" s="289"/>
      <c r="E827" s="290"/>
      <c r="F827" s="289"/>
      <c r="H827" s="38"/>
      <c r="I827" s="23"/>
      <c r="J827" s="24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1.25" customHeight="1">
      <c r="A828" s="289"/>
      <c r="B828" s="289"/>
      <c r="C828" s="289"/>
      <c r="D828" s="289"/>
      <c r="E828" s="290"/>
      <c r="F828" s="289"/>
      <c r="H828" s="38"/>
      <c r="I828" s="23"/>
      <c r="J828" s="24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1.25" customHeight="1">
      <c r="A829" s="289"/>
      <c r="B829" s="289"/>
      <c r="C829" s="289"/>
      <c r="D829" s="289"/>
      <c r="E829" s="290"/>
      <c r="F829" s="289"/>
      <c r="H829" s="38"/>
      <c r="I829" s="23"/>
      <c r="J829" s="24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1.25" customHeight="1">
      <c r="A830" s="289"/>
      <c r="B830" s="289"/>
      <c r="C830" s="289"/>
      <c r="D830" s="289"/>
      <c r="E830" s="290"/>
      <c r="F830" s="289"/>
      <c r="H830" s="38"/>
      <c r="I830" s="23"/>
      <c r="J830" s="24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1.25" customHeight="1">
      <c r="A831" s="289"/>
      <c r="B831" s="289"/>
      <c r="C831" s="289"/>
      <c r="D831" s="289"/>
      <c r="E831" s="290"/>
      <c r="F831" s="289"/>
      <c r="H831" s="38"/>
      <c r="I831" s="23"/>
      <c r="J831" s="24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1.25" customHeight="1">
      <c r="A832" s="289"/>
      <c r="B832" s="289"/>
      <c r="C832" s="289"/>
      <c r="D832" s="289"/>
      <c r="E832" s="290"/>
      <c r="F832" s="289"/>
      <c r="H832" s="38"/>
      <c r="I832" s="23"/>
      <c r="J832" s="24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1.25" customHeight="1">
      <c r="A833" s="289"/>
      <c r="B833" s="289"/>
      <c r="C833" s="289"/>
      <c r="D833" s="289"/>
      <c r="E833" s="290"/>
      <c r="F833" s="289"/>
      <c r="H833" s="38"/>
      <c r="I833" s="23"/>
      <c r="J833" s="24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1.25" customHeight="1">
      <c r="A834" s="289"/>
      <c r="B834" s="289"/>
      <c r="C834" s="289"/>
      <c r="D834" s="289"/>
      <c r="E834" s="290"/>
      <c r="F834" s="289"/>
      <c r="H834" s="38"/>
      <c r="I834" s="23"/>
      <c r="J834" s="24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1.25" customHeight="1">
      <c r="A835" s="289"/>
      <c r="B835" s="289"/>
      <c r="C835" s="289"/>
      <c r="D835" s="289"/>
      <c r="E835" s="290"/>
      <c r="F835" s="289"/>
      <c r="H835" s="38"/>
      <c r="I835" s="23"/>
      <c r="J835" s="24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1.25" customHeight="1">
      <c r="A836" s="289"/>
      <c r="B836" s="289"/>
      <c r="C836" s="289"/>
      <c r="D836" s="289"/>
      <c r="E836" s="290"/>
      <c r="F836" s="289"/>
      <c r="H836" s="38"/>
      <c r="I836" s="23"/>
      <c r="J836" s="24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1.25" customHeight="1">
      <c r="A837" s="289"/>
      <c r="B837" s="289"/>
      <c r="C837" s="289"/>
      <c r="D837" s="289"/>
      <c r="E837" s="290"/>
      <c r="F837" s="289"/>
      <c r="H837" s="38"/>
      <c r="I837" s="23"/>
      <c r="J837" s="24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1.25" customHeight="1">
      <c r="A838" s="289"/>
      <c r="B838" s="289"/>
      <c r="C838" s="289"/>
      <c r="D838" s="289"/>
      <c r="E838" s="290"/>
      <c r="F838" s="289"/>
      <c r="H838" s="38"/>
      <c r="I838" s="23"/>
      <c r="J838" s="24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1.25" customHeight="1">
      <c r="A839" s="289"/>
      <c r="B839" s="289"/>
      <c r="C839" s="289"/>
      <c r="D839" s="289"/>
      <c r="E839" s="290"/>
      <c r="F839" s="289"/>
      <c r="H839" s="38"/>
      <c r="I839" s="23"/>
      <c r="J839" s="24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1.25" customHeight="1">
      <c r="A840" s="289"/>
      <c r="B840" s="289"/>
      <c r="C840" s="289"/>
      <c r="D840" s="289"/>
      <c r="E840" s="290"/>
      <c r="F840" s="289"/>
      <c r="H840" s="38"/>
      <c r="I840" s="23"/>
      <c r="J840" s="24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1.25" customHeight="1">
      <c r="A841" s="289"/>
      <c r="B841" s="289"/>
      <c r="C841" s="289"/>
      <c r="D841" s="289"/>
      <c r="E841" s="290"/>
      <c r="F841" s="289"/>
      <c r="H841" s="38"/>
      <c r="I841" s="23"/>
      <c r="J841" s="24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1.25" customHeight="1">
      <c r="A842" s="289"/>
      <c r="B842" s="289"/>
      <c r="C842" s="289"/>
      <c r="D842" s="289"/>
      <c r="E842" s="290"/>
      <c r="F842" s="289"/>
      <c r="H842" s="38"/>
      <c r="I842" s="23"/>
      <c r="J842" s="24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1.25" customHeight="1">
      <c r="A843" s="289"/>
      <c r="B843" s="289"/>
      <c r="C843" s="289"/>
      <c r="D843" s="289"/>
      <c r="E843" s="290"/>
      <c r="F843" s="289"/>
      <c r="H843" s="38"/>
      <c r="I843" s="23"/>
      <c r="J843" s="24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1.25" customHeight="1">
      <c r="A844" s="289"/>
      <c r="B844" s="289"/>
      <c r="C844" s="289"/>
      <c r="D844" s="289"/>
      <c r="E844" s="290"/>
      <c r="F844" s="289"/>
      <c r="H844" s="38"/>
      <c r="I844" s="23"/>
      <c r="J844" s="24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1.25" customHeight="1">
      <c r="A845" s="289"/>
      <c r="B845" s="289"/>
      <c r="C845" s="289"/>
      <c r="D845" s="289"/>
      <c r="E845" s="290"/>
      <c r="F845" s="289"/>
      <c r="H845" s="38"/>
      <c r="I845" s="23"/>
      <c r="J845" s="24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1.25" customHeight="1">
      <c r="A846" s="289"/>
      <c r="B846" s="289"/>
      <c r="C846" s="289"/>
      <c r="D846" s="289"/>
      <c r="E846" s="290"/>
      <c r="F846" s="289"/>
      <c r="H846" s="38"/>
      <c r="I846" s="23"/>
      <c r="J846" s="24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1.25" customHeight="1">
      <c r="A847" s="289"/>
      <c r="B847" s="289"/>
      <c r="C847" s="289"/>
      <c r="D847" s="289"/>
      <c r="E847" s="290"/>
      <c r="F847" s="289"/>
      <c r="H847" s="38"/>
      <c r="I847" s="23"/>
      <c r="J847" s="24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1.25" customHeight="1">
      <c r="A848" s="289"/>
      <c r="B848" s="289"/>
      <c r="C848" s="289"/>
      <c r="D848" s="289"/>
      <c r="E848" s="290"/>
      <c r="F848" s="289"/>
      <c r="H848" s="38"/>
      <c r="I848" s="23"/>
      <c r="J848" s="24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1.25" customHeight="1">
      <c r="A849" s="289"/>
      <c r="B849" s="289"/>
      <c r="C849" s="289"/>
      <c r="D849" s="289"/>
      <c r="E849" s="290"/>
      <c r="F849" s="289"/>
      <c r="H849" s="38"/>
      <c r="I849" s="23"/>
      <c r="J849" s="24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1.25" customHeight="1">
      <c r="A850" s="289"/>
      <c r="B850" s="289"/>
      <c r="C850" s="289"/>
      <c r="D850" s="289"/>
      <c r="E850" s="290"/>
      <c r="F850" s="289"/>
      <c r="H850" s="38"/>
      <c r="I850" s="23"/>
      <c r="J850" s="24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1.25" customHeight="1">
      <c r="A851" s="289"/>
      <c r="B851" s="289"/>
      <c r="C851" s="289"/>
      <c r="D851" s="289"/>
      <c r="E851" s="290"/>
      <c r="F851" s="289"/>
      <c r="H851" s="38"/>
      <c r="I851" s="23"/>
      <c r="J851" s="24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1.25" customHeight="1">
      <c r="A852" s="289"/>
      <c r="B852" s="289"/>
      <c r="C852" s="289"/>
      <c r="D852" s="289"/>
      <c r="E852" s="290"/>
      <c r="F852" s="289"/>
      <c r="H852" s="38"/>
      <c r="I852" s="23"/>
      <c r="J852" s="24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1.25" customHeight="1">
      <c r="A853" s="289"/>
      <c r="B853" s="289"/>
      <c r="C853" s="289"/>
      <c r="D853" s="289"/>
      <c r="E853" s="290"/>
      <c r="F853" s="289"/>
      <c r="H853" s="38"/>
      <c r="I853" s="23"/>
      <c r="J853" s="24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1.25" customHeight="1">
      <c r="A854" s="289"/>
      <c r="B854" s="289"/>
      <c r="C854" s="289"/>
      <c r="D854" s="289"/>
      <c r="E854" s="290"/>
      <c r="F854" s="289"/>
      <c r="H854" s="38"/>
      <c r="I854" s="23"/>
      <c r="J854" s="24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1.25" customHeight="1">
      <c r="A855" s="289"/>
      <c r="B855" s="289"/>
      <c r="C855" s="289"/>
      <c r="D855" s="289"/>
      <c r="E855" s="290"/>
      <c r="F855" s="289"/>
      <c r="H855" s="38"/>
      <c r="I855" s="23"/>
      <c r="J855" s="24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1.25" customHeight="1">
      <c r="A856" s="289"/>
      <c r="B856" s="289"/>
      <c r="C856" s="289"/>
      <c r="D856" s="289"/>
      <c r="E856" s="290"/>
      <c r="F856" s="289"/>
      <c r="H856" s="38"/>
      <c r="I856" s="23"/>
      <c r="J856" s="24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1.25" customHeight="1">
      <c r="A857" s="289"/>
      <c r="B857" s="289"/>
      <c r="C857" s="289"/>
      <c r="D857" s="289"/>
      <c r="E857" s="290"/>
      <c r="F857" s="289"/>
      <c r="H857" s="38"/>
      <c r="I857" s="23"/>
      <c r="J857" s="24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1.25" customHeight="1">
      <c r="A858" s="289"/>
      <c r="B858" s="289"/>
      <c r="C858" s="289"/>
      <c r="D858" s="289"/>
      <c r="E858" s="290"/>
      <c r="F858" s="289"/>
      <c r="H858" s="38"/>
      <c r="I858" s="23"/>
      <c r="J858" s="24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1.25" customHeight="1">
      <c r="A859" s="289"/>
      <c r="B859" s="289"/>
      <c r="C859" s="289"/>
      <c r="D859" s="289"/>
      <c r="E859" s="290"/>
      <c r="F859" s="289"/>
      <c r="H859" s="38"/>
      <c r="I859" s="23"/>
      <c r="J859" s="24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1.25" customHeight="1">
      <c r="A860" s="289"/>
      <c r="B860" s="289"/>
      <c r="C860" s="289"/>
      <c r="D860" s="289"/>
      <c r="E860" s="290"/>
      <c r="F860" s="289"/>
      <c r="H860" s="38"/>
      <c r="I860" s="23"/>
      <c r="J860" s="24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1.25" customHeight="1">
      <c r="A861" s="289"/>
      <c r="B861" s="289"/>
      <c r="C861" s="289"/>
      <c r="D861" s="289"/>
      <c r="E861" s="290"/>
      <c r="F861" s="289"/>
      <c r="H861" s="38"/>
      <c r="I861" s="23"/>
      <c r="J861" s="24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1.25" customHeight="1">
      <c r="A862" s="289"/>
      <c r="B862" s="289"/>
      <c r="C862" s="289"/>
      <c r="D862" s="289"/>
      <c r="E862" s="290"/>
      <c r="F862" s="289"/>
      <c r="H862" s="38"/>
      <c r="I862" s="23"/>
      <c r="J862" s="24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1.25" customHeight="1">
      <c r="A863" s="289"/>
      <c r="B863" s="289"/>
      <c r="C863" s="289"/>
      <c r="D863" s="289"/>
      <c r="E863" s="290"/>
      <c r="F863" s="289"/>
      <c r="H863" s="38"/>
      <c r="I863" s="23"/>
      <c r="J863" s="24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1.25" customHeight="1">
      <c r="A864" s="289"/>
      <c r="B864" s="289"/>
      <c r="C864" s="289"/>
      <c r="D864" s="289"/>
      <c r="E864" s="290"/>
      <c r="F864" s="289"/>
      <c r="H864" s="38"/>
      <c r="I864" s="23"/>
      <c r="J864" s="24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1.25" customHeight="1">
      <c r="A865" s="289"/>
      <c r="B865" s="289"/>
      <c r="C865" s="289"/>
      <c r="D865" s="289"/>
      <c r="E865" s="290"/>
      <c r="F865" s="289"/>
      <c r="H865" s="38"/>
      <c r="I865" s="23"/>
      <c r="J865" s="24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1.25" customHeight="1">
      <c r="A866" s="289"/>
      <c r="B866" s="289"/>
      <c r="C866" s="289"/>
      <c r="D866" s="289"/>
      <c r="E866" s="290"/>
      <c r="F866" s="289"/>
      <c r="H866" s="38"/>
      <c r="I866" s="23"/>
      <c r="J866" s="24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1.25" customHeight="1">
      <c r="A867" s="289"/>
      <c r="B867" s="289"/>
      <c r="C867" s="289"/>
      <c r="D867" s="289"/>
      <c r="E867" s="290"/>
      <c r="F867" s="289"/>
      <c r="H867" s="38"/>
      <c r="I867" s="23"/>
      <c r="J867" s="24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1.25" customHeight="1">
      <c r="A868" s="289"/>
      <c r="B868" s="289"/>
      <c r="C868" s="289"/>
      <c r="D868" s="289"/>
      <c r="E868" s="290"/>
      <c r="F868" s="289"/>
      <c r="H868" s="38"/>
      <c r="I868" s="23"/>
      <c r="J868" s="24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1.25" customHeight="1">
      <c r="A869" s="289"/>
      <c r="B869" s="289"/>
      <c r="C869" s="289"/>
      <c r="D869" s="289"/>
      <c r="E869" s="290"/>
      <c r="F869" s="289"/>
      <c r="H869" s="38"/>
      <c r="I869" s="23"/>
      <c r="J869" s="24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1.25" customHeight="1">
      <c r="A870" s="289"/>
      <c r="B870" s="289"/>
      <c r="C870" s="289"/>
      <c r="D870" s="289"/>
      <c r="E870" s="290"/>
      <c r="F870" s="289"/>
      <c r="H870" s="38"/>
      <c r="I870" s="23"/>
      <c r="J870" s="24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1.25" customHeight="1">
      <c r="A871" s="289"/>
      <c r="B871" s="289"/>
      <c r="C871" s="289"/>
      <c r="D871" s="289"/>
      <c r="E871" s="290"/>
      <c r="F871" s="289"/>
      <c r="H871" s="38"/>
      <c r="I871" s="23"/>
      <c r="J871" s="24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1.25" customHeight="1">
      <c r="A872" s="289"/>
      <c r="B872" s="289"/>
      <c r="C872" s="289"/>
      <c r="D872" s="289"/>
      <c r="E872" s="290"/>
      <c r="F872" s="289"/>
      <c r="H872" s="38"/>
      <c r="I872" s="23"/>
      <c r="J872" s="24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1.25" customHeight="1">
      <c r="A873" s="289"/>
      <c r="B873" s="289"/>
      <c r="C873" s="289"/>
      <c r="D873" s="289"/>
      <c r="E873" s="290"/>
      <c r="F873" s="289"/>
      <c r="H873" s="38"/>
      <c r="I873" s="23"/>
      <c r="J873" s="24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1.25" customHeight="1">
      <c r="A874" s="289"/>
      <c r="B874" s="289"/>
      <c r="C874" s="289"/>
      <c r="D874" s="289"/>
      <c r="E874" s="290"/>
      <c r="F874" s="289"/>
      <c r="H874" s="38"/>
      <c r="I874" s="23"/>
      <c r="J874" s="24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1.25" customHeight="1">
      <c r="A875" s="289"/>
      <c r="B875" s="289"/>
      <c r="C875" s="289"/>
      <c r="D875" s="289"/>
      <c r="E875" s="290"/>
      <c r="F875" s="289"/>
      <c r="H875" s="38"/>
      <c r="I875" s="23"/>
      <c r="J875" s="24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1.25" customHeight="1">
      <c r="A876" s="289"/>
      <c r="B876" s="289"/>
      <c r="C876" s="289"/>
      <c r="D876" s="289"/>
      <c r="E876" s="290"/>
      <c r="F876" s="289"/>
      <c r="H876" s="38"/>
      <c r="I876" s="23"/>
      <c r="J876" s="24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1.25" customHeight="1">
      <c r="A877" s="289"/>
      <c r="B877" s="289"/>
      <c r="C877" s="289"/>
      <c r="D877" s="289"/>
      <c r="E877" s="290"/>
      <c r="F877" s="289"/>
      <c r="H877" s="38"/>
      <c r="I877" s="23"/>
      <c r="J877" s="24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1.25" customHeight="1">
      <c r="A878" s="289"/>
      <c r="B878" s="289"/>
      <c r="C878" s="289"/>
      <c r="D878" s="289"/>
      <c r="E878" s="290"/>
      <c r="F878" s="289"/>
      <c r="H878" s="38"/>
      <c r="I878" s="23"/>
      <c r="J878" s="24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1.25" customHeight="1">
      <c r="A879" s="289"/>
      <c r="B879" s="289"/>
      <c r="C879" s="289"/>
      <c r="D879" s="289"/>
      <c r="E879" s="290"/>
      <c r="F879" s="289"/>
      <c r="H879" s="38"/>
      <c r="I879" s="23"/>
      <c r="J879" s="24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1.25" customHeight="1">
      <c r="A880" s="289"/>
      <c r="B880" s="289"/>
      <c r="C880" s="289"/>
      <c r="D880" s="289"/>
      <c r="E880" s="290"/>
      <c r="F880" s="289"/>
      <c r="H880" s="38"/>
      <c r="I880" s="23"/>
      <c r="J880" s="24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1.25" customHeight="1">
      <c r="A881" s="289"/>
      <c r="B881" s="289"/>
      <c r="C881" s="289"/>
      <c r="D881" s="289"/>
      <c r="E881" s="290"/>
      <c r="F881" s="289"/>
      <c r="H881" s="38"/>
      <c r="I881" s="23"/>
      <c r="J881" s="24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1.25" customHeight="1">
      <c r="A882" s="289"/>
      <c r="B882" s="289"/>
      <c r="C882" s="289"/>
      <c r="D882" s="289"/>
      <c r="E882" s="290"/>
      <c r="F882" s="289"/>
      <c r="H882" s="38"/>
      <c r="I882" s="23"/>
      <c r="J882" s="24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1.25" customHeight="1">
      <c r="A883" s="289"/>
      <c r="B883" s="289"/>
      <c r="C883" s="289"/>
      <c r="D883" s="289"/>
      <c r="E883" s="290"/>
      <c r="F883" s="289"/>
      <c r="H883" s="38"/>
      <c r="I883" s="23"/>
      <c r="J883" s="24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1.25" customHeight="1">
      <c r="A884" s="289"/>
      <c r="B884" s="289"/>
      <c r="C884" s="289"/>
      <c r="D884" s="289"/>
      <c r="E884" s="290"/>
      <c r="F884" s="289"/>
      <c r="H884" s="38"/>
      <c r="I884" s="23"/>
      <c r="J884" s="24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1.25" customHeight="1">
      <c r="A885" s="289"/>
      <c r="B885" s="289"/>
      <c r="C885" s="289"/>
      <c r="D885" s="289"/>
      <c r="E885" s="290"/>
      <c r="F885" s="289"/>
      <c r="H885" s="38"/>
      <c r="I885" s="23"/>
      <c r="J885" s="24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1.25" customHeight="1">
      <c r="A886" s="289"/>
      <c r="B886" s="289"/>
      <c r="C886" s="289"/>
      <c r="D886" s="289"/>
      <c r="E886" s="290"/>
      <c r="F886" s="289"/>
      <c r="H886" s="38"/>
      <c r="I886" s="23"/>
      <c r="J886" s="24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1.25" customHeight="1">
      <c r="A887" s="289"/>
      <c r="B887" s="289"/>
      <c r="C887" s="289"/>
      <c r="D887" s="289"/>
      <c r="E887" s="290"/>
      <c r="F887" s="289"/>
      <c r="H887" s="38"/>
      <c r="I887" s="23"/>
      <c r="J887" s="24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1.25" customHeight="1">
      <c r="A888" s="289"/>
      <c r="B888" s="289"/>
      <c r="C888" s="289"/>
      <c r="D888" s="289"/>
      <c r="E888" s="290"/>
      <c r="F888" s="289"/>
      <c r="H888" s="38"/>
      <c r="I888" s="23"/>
      <c r="J888" s="24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1.25" customHeight="1">
      <c r="A889" s="289"/>
      <c r="B889" s="289"/>
      <c r="C889" s="289"/>
      <c r="D889" s="289"/>
      <c r="E889" s="290"/>
      <c r="F889" s="289"/>
      <c r="H889" s="38"/>
      <c r="I889" s="23"/>
      <c r="J889" s="24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1.25" customHeight="1">
      <c r="A890" s="289"/>
      <c r="B890" s="289"/>
      <c r="C890" s="289"/>
      <c r="D890" s="289"/>
      <c r="E890" s="290"/>
      <c r="F890" s="289"/>
      <c r="H890" s="38"/>
      <c r="I890" s="23"/>
      <c r="J890" s="24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1.25" customHeight="1">
      <c r="A891" s="289"/>
      <c r="B891" s="289"/>
      <c r="C891" s="289"/>
      <c r="D891" s="289"/>
      <c r="E891" s="290"/>
      <c r="F891" s="289"/>
      <c r="H891" s="38"/>
      <c r="I891" s="23"/>
      <c r="J891" s="24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1.25" customHeight="1">
      <c r="A892" s="289"/>
      <c r="B892" s="289"/>
      <c r="C892" s="289"/>
      <c r="D892" s="289"/>
      <c r="E892" s="290"/>
      <c r="F892" s="289"/>
      <c r="H892" s="38"/>
      <c r="I892" s="23"/>
      <c r="J892" s="24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1.25" customHeight="1">
      <c r="A893" s="289"/>
      <c r="B893" s="289"/>
      <c r="C893" s="289"/>
      <c r="D893" s="289"/>
      <c r="E893" s="290"/>
      <c r="F893" s="289"/>
      <c r="H893" s="38"/>
      <c r="I893" s="23"/>
      <c r="J893" s="24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1.25" customHeight="1">
      <c r="A894" s="289"/>
      <c r="B894" s="289"/>
      <c r="C894" s="289"/>
      <c r="D894" s="289"/>
      <c r="E894" s="290"/>
      <c r="F894" s="289"/>
      <c r="H894" s="38"/>
      <c r="I894" s="23"/>
      <c r="J894" s="24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1.25" customHeight="1">
      <c r="A895" s="289"/>
      <c r="B895" s="289"/>
      <c r="C895" s="289"/>
      <c r="D895" s="289"/>
      <c r="E895" s="290"/>
      <c r="F895" s="289"/>
      <c r="H895" s="38"/>
      <c r="I895" s="23"/>
      <c r="J895" s="24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1.25" customHeight="1">
      <c r="A896" s="289"/>
      <c r="B896" s="289"/>
      <c r="C896" s="289"/>
      <c r="D896" s="289"/>
      <c r="E896" s="290"/>
      <c r="F896" s="289"/>
      <c r="H896" s="38"/>
      <c r="I896" s="23"/>
      <c r="J896" s="24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1.25" customHeight="1">
      <c r="A897" s="289"/>
      <c r="B897" s="289"/>
      <c r="C897" s="289"/>
      <c r="D897" s="289"/>
      <c r="E897" s="290"/>
      <c r="F897" s="289"/>
      <c r="H897" s="38"/>
      <c r="I897" s="23"/>
      <c r="J897" s="24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1.25" customHeight="1">
      <c r="A898" s="289"/>
      <c r="B898" s="289"/>
      <c r="C898" s="289"/>
      <c r="D898" s="289"/>
      <c r="E898" s="290"/>
      <c r="F898" s="289"/>
      <c r="H898" s="38"/>
      <c r="I898" s="23"/>
      <c r="J898" s="24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1.25" customHeight="1">
      <c r="A899" s="289"/>
      <c r="B899" s="289"/>
      <c r="C899" s="289"/>
      <c r="D899" s="289"/>
      <c r="E899" s="290"/>
      <c r="F899" s="289"/>
      <c r="H899" s="38"/>
      <c r="I899" s="23"/>
      <c r="J899" s="24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1.25" customHeight="1">
      <c r="A900" s="289"/>
      <c r="B900" s="289"/>
      <c r="C900" s="289"/>
      <c r="D900" s="289"/>
      <c r="E900" s="290"/>
      <c r="F900" s="289"/>
      <c r="H900" s="38"/>
      <c r="I900" s="23"/>
      <c r="J900" s="24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1.25" customHeight="1">
      <c r="A901" s="289"/>
      <c r="B901" s="289"/>
      <c r="C901" s="289"/>
      <c r="D901" s="289"/>
      <c r="E901" s="290"/>
      <c r="F901" s="289"/>
      <c r="H901" s="38"/>
      <c r="I901" s="23"/>
      <c r="J901" s="24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1.25" customHeight="1">
      <c r="A902" s="289"/>
      <c r="B902" s="289"/>
      <c r="C902" s="289"/>
      <c r="D902" s="289"/>
      <c r="E902" s="290"/>
      <c r="F902" s="289"/>
      <c r="H902" s="38"/>
      <c r="I902" s="23"/>
      <c r="J902" s="24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1.25" customHeight="1">
      <c r="A903" s="289"/>
      <c r="B903" s="289"/>
      <c r="C903" s="289"/>
      <c r="D903" s="289"/>
      <c r="E903" s="290"/>
      <c r="F903" s="289"/>
      <c r="H903" s="38"/>
      <c r="I903" s="23"/>
      <c r="J903" s="24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1.25" customHeight="1">
      <c r="A904" s="289"/>
      <c r="B904" s="289"/>
      <c r="C904" s="289"/>
      <c r="D904" s="289"/>
      <c r="E904" s="290"/>
      <c r="F904" s="289"/>
      <c r="H904" s="38"/>
      <c r="I904" s="23"/>
      <c r="J904" s="24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1.25" customHeight="1">
      <c r="A905" s="289"/>
      <c r="B905" s="289"/>
      <c r="C905" s="289"/>
      <c r="D905" s="289"/>
      <c r="E905" s="290"/>
      <c r="F905" s="289"/>
      <c r="H905" s="38"/>
      <c r="I905" s="23"/>
      <c r="J905" s="24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1.25" customHeight="1">
      <c r="A906" s="289"/>
      <c r="B906" s="289"/>
      <c r="C906" s="289"/>
      <c r="D906" s="289"/>
      <c r="E906" s="290"/>
      <c r="F906" s="289"/>
      <c r="H906" s="38"/>
      <c r="I906" s="23"/>
      <c r="J906" s="24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1.25" customHeight="1">
      <c r="A907" s="289"/>
      <c r="B907" s="289"/>
      <c r="C907" s="289"/>
      <c r="D907" s="289"/>
      <c r="E907" s="290"/>
      <c r="F907" s="289"/>
      <c r="H907" s="38"/>
      <c r="I907" s="23"/>
      <c r="J907" s="24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1.25" customHeight="1">
      <c r="A908" s="289"/>
      <c r="B908" s="289"/>
      <c r="C908" s="289"/>
      <c r="D908" s="289"/>
      <c r="E908" s="290"/>
      <c r="F908" s="289"/>
      <c r="H908" s="38"/>
      <c r="I908" s="23"/>
      <c r="J908" s="24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1.25" customHeight="1">
      <c r="A909" s="289"/>
      <c r="B909" s="289"/>
      <c r="C909" s="289"/>
      <c r="D909" s="289"/>
      <c r="E909" s="290"/>
      <c r="F909" s="289"/>
      <c r="H909" s="38"/>
      <c r="I909" s="23"/>
      <c r="J909" s="24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1.25" customHeight="1">
      <c r="A910" s="289"/>
      <c r="B910" s="289"/>
      <c r="C910" s="289"/>
      <c r="D910" s="289"/>
      <c r="E910" s="290"/>
      <c r="F910" s="289"/>
      <c r="H910" s="38"/>
      <c r="I910" s="23"/>
      <c r="J910" s="24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1.25" customHeight="1">
      <c r="A911" s="289"/>
      <c r="B911" s="289"/>
      <c r="C911" s="289"/>
      <c r="D911" s="289"/>
      <c r="E911" s="290"/>
      <c r="F911" s="289"/>
      <c r="H911" s="38"/>
      <c r="I911" s="23"/>
      <c r="J911" s="24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1.25" customHeight="1">
      <c r="A912" s="289"/>
      <c r="B912" s="289"/>
      <c r="C912" s="289"/>
      <c r="D912" s="289"/>
      <c r="E912" s="290"/>
      <c r="F912" s="289"/>
      <c r="H912" s="38"/>
      <c r="I912" s="23"/>
      <c r="J912" s="24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1.25" customHeight="1">
      <c r="A913" s="289"/>
      <c r="B913" s="289"/>
      <c r="C913" s="289"/>
      <c r="D913" s="289"/>
      <c r="E913" s="290"/>
      <c r="F913" s="289"/>
      <c r="H913" s="38"/>
      <c r="I913" s="23"/>
      <c r="J913" s="24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1.25" customHeight="1">
      <c r="A914" s="289"/>
      <c r="B914" s="289"/>
      <c r="C914" s="289"/>
      <c r="D914" s="289"/>
      <c r="E914" s="290"/>
      <c r="F914" s="289"/>
      <c r="H914" s="38"/>
      <c r="I914" s="23"/>
      <c r="J914" s="24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1.25" customHeight="1">
      <c r="A915" s="289"/>
      <c r="B915" s="289"/>
      <c r="C915" s="289"/>
      <c r="D915" s="289"/>
      <c r="E915" s="290"/>
      <c r="F915" s="289"/>
      <c r="H915" s="38"/>
      <c r="I915" s="23"/>
      <c r="J915" s="24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1.25" customHeight="1">
      <c r="A916" s="289"/>
      <c r="B916" s="289"/>
      <c r="C916" s="289"/>
      <c r="D916" s="289"/>
      <c r="E916" s="290"/>
      <c r="F916" s="289"/>
      <c r="H916" s="38"/>
      <c r="I916" s="23"/>
      <c r="J916" s="24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1.25" customHeight="1">
      <c r="A917" s="289"/>
      <c r="B917" s="289"/>
      <c r="C917" s="289"/>
      <c r="D917" s="289"/>
      <c r="E917" s="290"/>
      <c r="F917" s="289"/>
      <c r="H917" s="38"/>
      <c r="I917" s="23"/>
      <c r="J917" s="24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1.25" customHeight="1">
      <c r="A918" s="289"/>
      <c r="B918" s="289"/>
      <c r="C918" s="289"/>
      <c r="D918" s="289"/>
      <c r="E918" s="290"/>
      <c r="F918" s="289"/>
      <c r="H918" s="38"/>
      <c r="I918" s="23"/>
      <c r="J918" s="24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1.25" customHeight="1">
      <c r="A919" s="289"/>
      <c r="B919" s="289"/>
      <c r="C919" s="289"/>
      <c r="D919" s="289"/>
      <c r="E919" s="290"/>
      <c r="F919" s="289"/>
      <c r="H919" s="38"/>
      <c r="I919" s="23"/>
      <c r="J919" s="24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1.25" customHeight="1">
      <c r="A920" s="289"/>
      <c r="B920" s="289"/>
      <c r="C920" s="289"/>
      <c r="D920" s="289"/>
      <c r="E920" s="290"/>
      <c r="F920" s="289"/>
      <c r="H920" s="38"/>
      <c r="I920" s="23"/>
      <c r="J920" s="24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1.25" customHeight="1">
      <c r="A921" s="289"/>
      <c r="B921" s="289"/>
      <c r="C921" s="289"/>
      <c r="D921" s="289"/>
      <c r="E921" s="290"/>
      <c r="F921" s="289"/>
      <c r="H921" s="38"/>
      <c r="I921" s="23"/>
      <c r="J921" s="24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1.25" customHeight="1">
      <c r="A922" s="289"/>
      <c r="B922" s="289"/>
      <c r="C922" s="289"/>
      <c r="D922" s="289"/>
      <c r="E922" s="290"/>
      <c r="F922" s="289"/>
      <c r="H922" s="38"/>
      <c r="I922" s="23"/>
      <c r="J922" s="24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1.25" customHeight="1">
      <c r="A923" s="289"/>
      <c r="B923" s="289"/>
      <c r="C923" s="289"/>
      <c r="D923" s="289"/>
      <c r="E923" s="290"/>
      <c r="F923" s="289"/>
      <c r="H923" s="38"/>
      <c r="I923" s="23"/>
      <c r="J923" s="24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1.25" customHeight="1">
      <c r="A924" s="289"/>
      <c r="B924" s="289"/>
      <c r="C924" s="289"/>
      <c r="D924" s="289"/>
      <c r="E924" s="290"/>
      <c r="F924" s="289"/>
      <c r="H924" s="38"/>
      <c r="I924" s="23"/>
      <c r="J924" s="24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1.25" customHeight="1">
      <c r="A925" s="289"/>
      <c r="B925" s="289"/>
      <c r="C925" s="289"/>
      <c r="D925" s="289"/>
      <c r="E925" s="290"/>
      <c r="F925" s="289"/>
      <c r="H925" s="38"/>
      <c r="I925" s="23"/>
      <c r="J925" s="24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1.25" customHeight="1">
      <c r="A926" s="289"/>
      <c r="B926" s="289"/>
      <c r="C926" s="289"/>
      <c r="D926" s="289"/>
      <c r="E926" s="290"/>
      <c r="F926" s="289"/>
      <c r="H926" s="38"/>
      <c r="I926" s="23"/>
      <c r="J926" s="24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1.25" customHeight="1">
      <c r="A927" s="289"/>
      <c r="B927" s="289"/>
      <c r="C927" s="289"/>
      <c r="D927" s="289"/>
      <c r="E927" s="290"/>
      <c r="F927" s="289"/>
      <c r="H927" s="38"/>
      <c r="I927" s="23"/>
      <c r="J927" s="24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1.25" customHeight="1">
      <c r="A928" s="289"/>
      <c r="B928" s="289"/>
      <c r="C928" s="289"/>
      <c r="D928" s="289"/>
      <c r="E928" s="290"/>
      <c r="F928" s="289"/>
      <c r="H928" s="38"/>
      <c r="I928" s="23"/>
      <c r="J928" s="24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1.25" customHeight="1">
      <c r="A929" s="289"/>
      <c r="B929" s="289"/>
      <c r="C929" s="289"/>
      <c r="D929" s="289"/>
      <c r="E929" s="290"/>
      <c r="F929" s="289"/>
      <c r="H929" s="38"/>
      <c r="I929" s="23"/>
      <c r="J929" s="24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1.25" customHeight="1">
      <c r="A930" s="289"/>
      <c r="B930" s="289"/>
      <c r="C930" s="289"/>
      <c r="D930" s="289"/>
      <c r="E930" s="290"/>
      <c r="F930" s="289"/>
      <c r="H930" s="38"/>
      <c r="I930" s="23"/>
      <c r="J930" s="24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1.25" customHeight="1">
      <c r="A931" s="289"/>
      <c r="B931" s="289"/>
      <c r="C931" s="289"/>
      <c r="D931" s="289"/>
      <c r="E931" s="290"/>
      <c r="F931" s="289"/>
      <c r="H931" s="38"/>
      <c r="I931" s="23"/>
      <c r="J931" s="24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1.25" customHeight="1">
      <c r="A932" s="289"/>
      <c r="B932" s="289"/>
      <c r="C932" s="289"/>
      <c r="D932" s="289"/>
      <c r="E932" s="290"/>
      <c r="F932" s="289"/>
      <c r="H932" s="38"/>
      <c r="I932" s="23"/>
      <c r="J932" s="24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1.25" customHeight="1">
      <c r="A933" s="289"/>
      <c r="B933" s="289"/>
      <c r="C933" s="289"/>
      <c r="D933" s="289"/>
      <c r="E933" s="290"/>
      <c r="F933" s="289"/>
      <c r="H933" s="38"/>
      <c r="I933" s="23"/>
      <c r="J933" s="24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1.25" customHeight="1">
      <c r="A934" s="289"/>
      <c r="B934" s="289"/>
      <c r="C934" s="289"/>
      <c r="D934" s="289"/>
      <c r="E934" s="290"/>
      <c r="F934" s="289"/>
      <c r="H934" s="38"/>
      <c r="I934" s="23"/>
      <c r="J934" s="24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1.25" customHeight="1">
      <c r="A935" s="289"/>
      <c r="B935" s="289"/>
      <c r="C935" s="289"/>
      <c r="D935" s="289"/>
      <c r="E935" s="290"/>
      <c r="F935" s="289"/>
      <c r="H935" s="38"/>
      <c r="I935" s="23"/>
      <c r="J935" s="24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1.25" customHeight="1">
      <c r="A936" s="289"/>
      <c r="B936" s="289"/>
      <c r="C936" s="289"/>
      <c r="D936" s="289"/>
      <c r="E936" s="290"/>
      <c r="F936" s="289"/>
      <c r="H936" s="38"/>
      <c r="I936" s="23"/>
      <c r="J936" s="24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1.25" customHeight="1">
      <c r="A937" s="289"/>
      <c r="B937" s="289"/>
      <c r="C937" s="289"/>
      <c r="D937" s="289"/>
      <c r="E937" s="290"/>
      <c r="F937" s="289"/>
      <c r="H937" s="38"/>
      <c r="I937" s="23"/>
      <c r="J937" s="24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1.25" customHeight="1">
      <c r="A938" s="289"/>
      <c r="B938" s="289"/>
      <c r="C938" s="289"/>
      <c r="D938" s="289"/>
      <c r="E938" s="290"/>
      <c r="F938" s="289"/>
      <c r="H938" s="38"/>
      <c r="I938" s="23"/>
      <c r="J938" s="24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1.25" customHeight="1">
      <c r="A939" s="289"/>
      <c r="B939" s="289"/>
      <c r="C939" s="289"/>
      <c r="D939" s="289"/>
      <c r="E939" s="290"/>
      <c r="F939" s="289"/>
      <c r="H939" s="38"/>
      <c r="I939" s="23"/>
      <c r="J939" s="24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1.25" customHeight="1">
      <c r="A940" s="289"/>
      <c r="B940" s="289"/>
      <c r="C940" s="289"/>
      <c r="D940" s="289"/>
      <c r="E940" s="290"/>
      <c r="F940" s="289"/>
      <c r="H940" s="38"/>
      <c r="I940" s="23"/>
      <c r="J940" s="24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1.25" customHeight="1">
      <c r="A941" s="289"/>
      <c r="B941" s="289"/>
      <c r="C941" s="289"/>
      <c r="D941" s="289"/>
      <c r="E941" s="290"/>
      <c r="F941" s="289"/>
      <c r="H941" s="38"/>
      <c r="I941" s="23"/>
      <c r="J941" s="24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1.25" customHeight="1">
      <c r="A942" s="289"/>
      <c r="B942" s="289"/>
      <c r="C942" s="289"/>
      <c r="D942" s="289"/>
      <c r="E942" s="290"/>
      <c r="F942" s="289"/>
      <c r="H942" s="38"/>
      <c r="I942" s="23"/>
      <c r="J942" s="24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1.25" customHeight="1">
      <c r="A943" s="289"/>
      <c r="B943" s="289"/>
      <c r="C943" s="289"/>
      <c r="D943" s="289"/>
      <c r="E943" s="290"/>
      <c r="F943" s="289"/>
      <c r="H943" s="38"/>
      <c r="I943" s="23"/>
      <c r="J943" s="24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1.25" customHeight="1">
      <c r="A944" s="289"/>
      <c r="B944" s="289"/>
      <c r="C944" s="289"/>
      <c r="D944" s="289"/>
      <c r="E944" s="290"/>
      <c r="F944" s="289"/>
      <c r="H944" s="38"/>
      <c r="I944" s="23"/>
      <c r="J944" s="24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1.25" customHeight="1">
      <c r="A945" s="289"/>
      <c r="B945" s="289"/>
      <c r="C945" s="289"/>
      <c r="D945" s="289"/>
      <c r="E945" s="290"/>
      <c r="F945" s="289"/>
      <c r="H945" s="38"/>
      <c r="I945" s="23"/>
      <c r="J945" s="24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1.25" customHeight="1">
      <c r="A946" s="289"/>
      <c r="B946" s="289"/>
      <c r="C946" s="289"/>
      <c r="D946" s="289"/>
      <c r="E946" s="290"/>
      <c r="F946" s="289"/>
      <c r="H946" s="38"/>
      <c r="I946" s="23"/>
      <c r="J946" s="24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1.25" customHeight="1">
      <c r="A947" s="289"/>
      <c r="B947" s="289"/>
      <c r="C947" s="289"/>
      <c r="D947" s="289"/>
      <c r="E947" s="290"/>
      <c r="F947" s="289"/>
      <c r="H947" s="38"/>
      <c r="I947" s="23"/>
      <c r="J947" s="24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1.25" customHeight="1">
      <c r="A948" s="289"/>
      <c r="B948" s="289"/>
      <c r="C948" s="289"/>
      <c r="D948" s="289"/>
      <c r="E948" s="290"/>
      <c r="F948" s="289"/>
      <c r="H948" s="38"/>
      <c r="I948" s="23"/>
      <c r="J948" s="24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1.25" customHeight="1">
      <c r="A949" s="289"/>
      <c r="B949" s="289"/>
      <c r="C949" s="289"/>
      <c r="D949" s="289"/>
      <c r="E949" s="290"/>
      <c r="F949" s="289"/>
      <c r="H949" s="38"/>
      <c r="I949" s="23"/>
      <c r="J949" s="24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1.25" customHeight="1">
      <c r="A950" s="289"/>
      <c r="B950" s="289"/>
      <c r="C950" s="289"/>
      <c r="D950" s="289"/>
      <c r="E950" s="290"/>
      <c r="F950" s="289"/>
      <c r="H950" s="38"/>
      <c r="I950" s="23"/>
      <c r="J950" s="24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1.25" customHeight="1">
      <c r="A951" s="289"/>
      <c r="B951" s="289"/>
      <c r="C951" s="289"/>
      <c r="D951" s="289"/>
      <c r="E951" s="290"/>
      <c r="F951" s="289"/>
      <c r="H951" s="38"/>
      <c r="I951" s="23"/>
      <c r="J951" s="24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1.25" customHeight="1">
      <c r="A952" s="289"/>
      <c r="B952" s="289"/>
      <c r="C952" s="289"/>
      <c r="D952" s="289"/>
      <c r="E952" s="290"/>
      <c r="F952" s="289"/>
      <c r="H952" s="38"/>
      <c r="I952" s="23"/>
      <c r="J952" s="24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1.25" customHeight="1">
      <c r="A953" s="289"/>
      <c r="B953" s="289"/>
      <c r="C953" s="289"/>
      <c r="D953" s="289"/>
      <c r="E953" s="290"/>
      <c r="F953" s="289"/>
      <c r="H953" s="38"/>
      <c r="I953" s="23"/>
      <c r="J953" s="24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1.25" customHeight="1">
      <c r="A954" s="289"/>
      <c r="B954" s="289"/>
      <c r="C954" s="289"/>
      <c r="D954" s="289"/>
      <c r="E954" s="290"/>
      <c r="F954" s="289"/>
      <c r="H954" s="38"/>
      <c r="I954" s="23"/>
      <c r="J954" s="24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1.25" customHeight="1">
      <c r="A955" s="289"/>
      <c r="B955" s="289"/>
      <c r="C955" s="289"/>
      <c r="D955" s="289"/>
      <c r="E955" s="290"/>
      <c r="F955" s="289"/>
      <c r="H955" s="38"/>
      <c r="I955" s="23"/>
      <c r="J955" s="24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1.25" customHeight="1">
      <c r="A956" s="289"/>
      <c r="B956" s="289"/>
      <c r="C956" s="289"/>
      <c r="D956" s="289"/>
      <c r="E956" s="290"/>
      <c r="F956" s="289"/>
      <c r="H956" s="38"/>
      <c r="I956" s="23"/>
      <c r="J956" s="24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1.25" customHeight="1">
      <c r="A957" s="289"/>
      <c r="B957" s="289"/>
      <c r="C957" s="289"/>
      <c r="D957" s="289"/>
      <c r="E957" s="290"/>
      <c r="F957" s="289"/>
      <c r="H957" s="38"/>
      <c r="I957" s="23"/>
      <c r="J957" s="24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1.25" customHeight="1">
      <c r="A958" s="289"/>
      <c r="B958" s="289"/>
      <c r="C958" s="289"/>
      <c r="D958" s="289"/>
      <c r="E958" s="290"/>
      <c r="F958" s="289"/>
      <c r="H958" s="38"/>
      <c r="I958" s="23"/>
      <c r="J958" s="24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1.25" customHeight="1">
      <c r="A959" s="289"/>
      <c r="B959" s="289"/>
      <c r="C959" s="289"/>
      <c r="D959" s="289"/>
      <c r="E959" s="290"/>
      <c r="F959" s="289"/>
      <c r="H959" s="38"/>
      <c r="I959" s="23"/>
      <c r="J959" s="24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1.25" customHeight="1">
      <c r="A960" s="289"/>
      <c r="B960" s="289"/>
      <c r="C960" s="289"/>
      <c r="D960" s="289"/>
      <c r="E960" s="290"/>
      <c r="F960" s="289"/>
      <c r="H960" s="38"/>
      <c r="I960" s="23"/>
      <c r="J960" s="24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1.25" customHeight="1">
      <c r="A961" s="289"/>
      <c r="B961" s="289"/>
      <c r="C961" s="289"/>
      <c r="D961" s="289"/>
      <c r="E961" s="290"/>
      <c r="F961" s="289"/>
      <c r="H961" s="38"/>
      <c r="I961" s="23"/>
      <c r="J961" s="24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1.25" customHeight="1">
      <c r="A962" s="289"/>
      <c r="B962" s="289"/>
      <c r="C962" s="289"/>
      <c r="D962" s="289"/>
      <c r="E962" s="290"/>
      <c r="F962" s="289"/>
      <c r="H962" s="38"/>
      <c r="I962" s="23"/>
      <c r="J962" s="24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1.25" customHeight="1">
      <c r="A963" s="289"/>
      <c r="B963" s="289"/>
      <c r="C963" s="289"/>
      <c r="D963" s="289"/>
      <c r="E963" s="290"/>
      <c r="F963" s="289"/>
      <c r="H963" s="38"/>
      <c r="I963" s="23"/>
      <c r="J963" s="24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1.25" customHeight="1">
      <c r="A964" s="289"/>
      <c r="B964" s="289"/>
      <c r="C964" s="289"/>
      <c r="D964" s="289"/>
      <c r="E964" s="290"/>
      <c r="F964" s="289"/>
      <c r="H964" s="38"/>
      <c r="I964" s="23"/>
      <c r="J964" s="24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1.25" customHeight="1">
      <c r="A965" s="289"/>
      <c r="B965" s="289"/>
      <c r="C965" s="289"/>
      <c r="D965" s="289"/>
      <c r="E965" s="290"/>
      <c r="F965" s="289"/>
      <c r="H965" s="38"/>
      <c r="I965" s="23"/>
      <c r="J965" s="24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1.25" customHeight="1">
      <c r="A966" s="289"/>
      <c r="B966" s="289"/>
      <c r="C966" s="289"/>
      <c r="D966" s="289"/>
      <c r="E966" s="290"/>
      <c r="F966" s="289"/>
      <c r="H966" s="38"/>
      <c r="I966" s="23"/>
      <c r="J966" s="24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1.25" customHeight="1">
      <c r="A967" s="289"/>
      <c r="B967" s="289"/>
      <c r="C967" s="289"/>
      <c r="D967" s="289"/>
      <c r="E967" s="290"/>
      <c r="F967" s="289"/>
      <c r="H967" s="38"/>
      <c r="I967" s="23"/>
      <c r="J967" s="24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1.25" customHeight="1">
      <c r="A968" s="289"/>
      <c r="B968" s="289"/>
      <c r="C968" s="289"/>
      <c r="D968" s="289"/>
      <c r="E968" s="290"/>
      <c r="F968" s="289"/>
      <c r="H968" s="38"/>
      <c r="I968" s="23"/>
      <c r="J968" s="24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1.25" customHeight="1">
      <c r="A969" s="289"/>
      <c r="B969" s="289"/>
      <c r="C969" s="289"/>
      <c r="D969" s="289"/>
      <c r="E969" s="290"/>
      <c r="F969" s="289"/>
      <c r="H969" s="38"/>
      <c r="I969" s="23"/>
      <c r="J969" s="24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1.25" customHeight="1">
      <c r="A970" s="289"/>
      <c r="B970" s="289"/>
      <c r="C970" s="289"/>
      <c r="D970" s="289"/>
      <c r="E970" s="290"/>
      <c r="F970" s="289"/>
      <c r="H970" s="38"/>
      <c r="I970" s="23"/>
      <c r="J970" s="24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1.25" customHeight="1">
      <c r="A971" s="289"/>
      <c r="B971" s="289"/>
      <c r="C971" s="289"/>
      <c r="D971" s="289"/>
      <c r="E971" s="290"/>
      <c r="F971" s="289"/>
      <c r="H971" s="38"/>
      <c r="I971" s="23"/>
      <c r="J971" s="24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1.25" customHeight="1">
      <c r="A972" s="289"/>
      <c r="B972" s="289"/>
      <c r="C972" s="289"/>
      <c r="D972" s="289"/>
      <c r="E972" s="290"/>
      <c r="F972" s="289"/>
      <c r="H972" s="38"/>
      <c r="I972" s="23"/>
      <c r="J972" s="24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1.25" customHeight="1">
      <c r="A973" s="289"/>
      <c r="B973" s="289"/>
      <c r="C973" s="289"/>
      <c r="D973" s="289"/>
      <c r="E973" s="290"/>
      <c r="F973" s="289"/>
      <c r="H973" s="38"/>
      <c r="I973" s="23"/>
      <c r="J973" s="24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1.25" customHeight="1">
      <c r="A974" s="289"/>
      <c r="B974" s="289"/>
      <c r="C974" s="289"/>
      <c r="D974" s="289"/>
      <c r="E974" s="290"/>
      <c r="F974" s="289"/>
      <c r="H974" s="38"/>
      <c r="I974" s="23"/>
      <c r="J974" s="24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1.25" customHeight="1">
      <c r="A975" s="289"/>
      <c r="B975" s="289"/>
      <c r="C975" s="289"/>
      <c r="D975" s="289"/>
      <c r="E975" s="290"/>
      <c r="F975" s="289"/>
      <c r="H975" s="38"/>
      <c r="I975" s="23"/>
      <c r="J975" s="24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1.25" customHeight="1">
      <c r="A976" s="289"/>
      <c r="B976" s="289"/>
      <c r="C976" s="289"/>
      <c r="D976" s="289"/>
      <c r="E976" s="290"/>
      <c r="F976" s="289"/>
      <c r="H976" s="38"/>
      <c r="I976" s="23"/>
      <c r="J976" s="24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1.25" customHeight="1">
      <c r="A977" s="289"/>
      <c r="B977" s="289"/>
      <c r="C977" s="289"/>
      <c r="D977" s="289"/>
      <c r="E977" s="290"/>
      <c r="F977" s="289"/>
      <c r="H977" s="38"/>
      <c r="I977" s="23"/>
      <c r="J977" s="24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1.25" customHeight="1">
      <c r="A978" s="289"/>
      <c r="B978" s="289"/>
      <c r="C978" s="289"/>
      <c r="D978" s="289"/>
      <c r="E978" s="290"/>
      <c r="F978" s="289"/>
      <c r="H978" s="38"/>
      <c r="I978" s="23"/>
      <c r="J978" s="24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1.25" customHeight="1">
      <c r="A979" s="289"/>
      <c r="B979" s="289"/>
      <c r="C979" s="289"/>
      <c r="D979" s="289"/>
      <c r="E979" s="290"/>
      <c r="F979" s="289"/>
      <c r="H979" s="38"/>
      <c r="I979" s="23"/>
      <c r="J979" s="24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1.25" customHeight="1">
      <c r="A980" s="289"/>
      <c r="B980" s="289"/>
      <c r="C980" s="289"/>
      <c r="D980" s="289"/>
      <c r="E980" s="290"/>
      <c r="F980" s="289"/>
      <c r="H980" s="38"/>
      <c r="I980" s="23"/>
      <c r="J980" s="24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1.25" customHeight="1">
      <c r="A981" s="289"/>
      <c r="B981" s="289"/>
      <c r="C981" s="289"/>
      <c r="D981" s="289"/>
      <c r="E981" s="290"/>
      <c r="F981" s="289"/>
      <c r="H981" s="38"/>
      <c r="I981" s="23"/>
      <c r="J981" s="24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1.25" customHeight="1">
      <c r="A982" s="289"/>
      <c r="B982" s="289"/>
      <c r="C982" s="289"/>
      <c r="D982" s="289"/>
      <c r="E982" s="290"/>
      <c r="F982" s="289"/>
      <c r="H982" s="38"/>
      <c r="I982" s="23"/>
      <c r="J982" s="24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1.25" customHeight="1">
      <c r="A983" s="289"/>
      <c r="B983" s="289"/>
      <c r="C983" s="289"/>
      <c r="D983" s="289"/>
      <c r="E983" s="290"/>
      <c r="F983" s="289"/>
      <c r="H983" s="38"/>
      <c r="I983" s="23"/>
      <c r="J983" s="24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1.25" customHeight="1">
      <c r="A984" s="289"/>
      <c r="B984" s="289"/>
      <c r="C984" s="289"/>
      <c r="D984" s="289"/>
      <c r="E984" s="290"/>
      <c r="F984" s="289"/>
      <c r="H984" s="38"/>
      <c r="I984" s="23"/>
      <c r="J984" s="24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1.25" customHeight="1">
      <c r="A985" s="289"/>
      <c r="B985" s="289"/>
      <c r="C985" s="289"/>
      <c r="D985" s="289"/>
      <c r="E985" s="290"/>
      <c r="F985" s="289"/>
      <c r="H985" s="38"/>
      <c r="I985" s="23"/>
      <c r="J985" s="24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1.25" customHeight="1">
      <c r="A986" s="289"/>
      <c r="B986" s="289"/>
      <c r="C986" s="289"/>
      <c r="D986" s="289"/>
      <c r="E986" s="290"/>
      <c r="F986" s="289"/>
      <c r="H986" s="38"/>
      <c r="I986" s="23"/>
      <c r="J986" s="24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1.25" customHeight="1">
      <c r="A987" s="289"/>
      <c r="B987" s="289"/>
      <c r="C987" s="289"/>
      <c r="D987" s="289"/>
      <c r="E987" s="290"/>
      <c r="F987" s="289"/>
      <c r="H987" s="38"/>
      <c r="I987" s="23"/>
      <c r="J987" s="24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1.25" customHeight="1">
      <c r="A988" s="289"/>
      <c r="B988" s="289"/>
      <c r="C988" s="289"/>
      <c r="D988" s="289"/>
      <c r="E988" s="290"/>
      <c r="F988" s="289"/>
      <c r="H988" s="38"/>
      <c r="I988" s="23"/>
      <c r="J988" s="24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1.25" customHeight="1">
      <c r="A989" s="289"/>
      <c r="B989" s="289"/>
      <c r="C989" s="289"/>
      <c r="D989" s="289"/>
      <c r="E989" s="290"/>
      <c r="F989" s="289"/>
      <c r="H989" s="38"/>
      <c r="I989" s="23"/>
      <c r="J989" s="24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1.25" customHeight="1">
      <c r="A990" s="289"/>
      <c r="B990" s="289"/>
      <c r="C990" s="289"/>
      <c r="D990" s="289"/>
      <c r="E990" s="290"/>
      <c r="F990" s="289"/>
      <c r="H990" s="38"/>
      <c r="I990" s="23"/>
      <c r="J990" s="24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1.25" customHeight="1">
      <c r="A991" s="289"/>
      <c r="B991" s="289"/>
      <c r="C991" s="289"/>
      <c r="D991" s="289"/>
      <c r="E991" s="290"/>
      <c r="F991" s="289"/>
      <c r="H991" s="38"/>
      <c r="I991" s="23"/>
      <c r="J991" s="24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1.25" customHeight="1">
      <c r="A992" s="289"/>
      <c r="B992" s="289"/>
      <c r="C992" s="289"/>
      <c r="D992" s="289"/>
      <c r="E992" s="290"/>
      <c r="F992" s="289"/>
      <c r="H992" s="38"/>
      <c r="I992" s="23"/>
      <c r="J992" s="24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1.25" customHeight="1">
      <c r="A993" s="289"/>
      <c r="B993" s="289"/>
      <c r="C993" s="289"/>
      <c r="D993" s="289"/>
      <c r="E993" s="290"/>
      <c r="F993" s="289"/>
      <c r="H993" s="38"/>
      <c r="I993" s="23"/>
      <c r="J993" s="24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1.25" customHeight="1">
      <c r="A994" s="289"/>
      <c r="B994" s="289"/>
      <c r="C994" s="289"/>
      <c r="D994" s="289"/>
      <c r="E994" s="290"/>
      <c r="F994" s="289"/>
      <c r="H994" s="38"/>
      <c r="I994" s="23"/>
      <c r="J994" s="24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1.25" customHeight="1">
      <c r="A995" s="289"/>
      <c r="B995" s="289"/>
      <c r="C995" s="289"/>
      <c r="D995" s="289"/>
      <c r="E995" s="290"/>
      <c r="F995" s="289"/>
      <c r="H995" s="38"/>
      <c r="I995" s="23"/>
      <c r="J995" s="24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1.25" customHeight="1">
      <c r="A996" s="289"/>
      <c r="B996" s="289"/>
      <c r="C996" s="289"/>
      <c r="D996" s="289"/>
      <c r="E996" s="290"/>
      <c r="F996" s="289"/>
      <c r="H996" s="38"/>
      <c r="I996" s="23"/>
      <c r="J996" s="24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1.25" customHeight="1">
      <c r="A997" s="289"/>
      <c r="B997" s="289"/>
      <c r="C997" s="289"/>
      <c r="D997" s="289"/>
      <c r="E997" s="290"/>
      <c r="F997" s="289"/>
      <c r="H997" s="38"/>
      <c r="I997" s="23"/>
      <c r="J997" s="24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1.25" customHeight="1">
      <c r="A998" s="289"/>
      <c r="B998" s="289"/>
      <c r="C998" s="289"/>
      <c r="D998" s="289"/>
      <c r="E998" s="290"/>
      <c r="F998" s="289"/>
      <c r="H998" s="38"/>
      <c r="I998" s="23"/>
      <c r="J998" s="24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1.25" customHeight="1">
      <c r="A999" s="289"/>
      <c r="B999" s="289"/>
      <c r="C999" s="289"/>
      <c r="D999" s="289"/>
      <c r="E999" s="290"/>
      <c r="F999" s="289"/>
      <c r="H999" s="38"/>
      <c r="I999" s="23"/>
      <c r="J999" s="24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1.25" customHeight="1">
      <c r="A1000" s="289"/>
      <c r="B1000" s="289"/>
      <c r="C1000" s="289"/>
      <c r="D1000" s="289"/>
      <c r="E1000" s="290"/>
      <c r="F1000" s="289"/>
      <c r="H1000" s="38"/>
      <c r="I1000" s="23"/>
      <c r="J1000" s="24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32">
    <mergeCell ref="A1:J1"/>
    <mergeCell ref="A2:B2"/>
    <mergeCell ref="E2:F2"/>
    <mergeCell ref="A3:B3"/>
    <mergeCell ref="C10:F10"/>
    <mergeCell ref="G10:I10"/>
    <mergeCell ref="G11:I11"/>
    <mergeCell ref="C11:F11"/>
    <mergeCell ref="C12:F12"/>
    <mergeCell ref="G12:I12"/>
    <mergeCell ref="C13:F13"/>
    <mergeCell ref="G13:I13"/>
    <mergeCell ref="C14:F14"/>
    <mergeCell ref="G14:I14"/>
    <mergeCell ref="A15:B15"/>
    <mergeCell ref="C15:E15"/>
    <mergeCell ref="A142:B142"/>
    <mergeCell ref="C142:E142"/>
    <mergeCell ref="A146:B146"/>
    <mergeCell ref="D146:E146"/>
    <mergeCell ref="D147:E147"/>
    <mergeCell ref="A151:C151"/>
    <mergeCell ref="D151:E151"/>
    <mergeCell ref="A152:C152"/>
    <mergeCell ref="D152:E152"/>
    <mergeCell ref="A147:C147"/>
    <mergeCell ref="A148:C148"/>
    <mergeCell ref="D148:E148"/>
    <mergeCell ref="A149:C149"/>
    <mergeCell ref="D149:E149"/>
    <mergeCell ref="A150:C150"/>
    <mergeCell ref="D150:E150"/>
  </mergeCells>
  <printOptions/>
  <pageMargins bottom="0.75" footer="0.0" header="0.0" left="0.7" right="0.7" top="0.75"/>
  <pageSetup scale="96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9.75"/>
    <col customWidth="1" min="3" max="3" width="10.63"/>
    <col customWidth="1" min="4" max="4" width="8.13"/>
    <col customWidth="1" min="5" max="5" width="10.38"/>
    <col customWidth="1" min="6" max="6" width="13.75"/>
    <col customWidth="1" min="7" max="9" width="10.63"/>
  </cols>
  <sheetData>
    <row r="1" ht="13.5" customHeight="1">
      <c r="A1" s="3" t="s">
        <v>1</v>
      </c>
      <c r="B1" s="5">
        <v>56.0</v>
      </c>
      <c r="C1" s="3" t="s">
        <v>2</v>
      </c>
      <c r="D1" s="7"/>
      <c r="E1" s="3" t="s">
        <v>3</v>
      </c>
      <c r="F1" s="9"/>
    </row>
    <row r="2" ht="13.5" customHeight="1">
      <c r="A2" s="3" t="s">
        <v>4</v>
      </c>
      <c r="B2" s="5" t="s">
        <v>5</v>
      </c>
      <c r="D2" s="7"/>
      <c r="E2" s="3" t="s">
        <v>6</v>
      </c>
      <c r="F2" s="10">
        <v>0.15</v>
      </c>
    </row>
    <row r="3" ht="13.5" customHeight="1">
      <c r="D3" s="7"/>
      <c r="E3" s="3" t="s">
        <v>8</v>
      </c>
      <c r="F3" s="10">
        <v>0.2</v>
      </c>
    </row>
    <row r="4" ht="13.5" customHeight="1">
      <c r="B4" s="5" t="s">
        <v>9</v>
      </c>
      <c r="D4" s="7"/>
      <c r="E4" s="3" t="s">
        <v>10</v>
      </c>
      <c r="F4" s="10">
        <v>0.19</v>
      </c>
    </row>
    <row r="5" ht="13.5" customHeight="1">
      <c r="A5" s="14" t="s">
        <v>11</v>
      </c>
      <c r="D5" s="7"/>
      <c r="E5" s="9"/>
      <c r="F5" s="9"/>
    </row>
    <row r="6" ht="13.5" customHeight="1">
      <c r="A6" s="18" t="s">
        <v>15</v>
      </c>
      <c r="B6" s="18" t="s">
        <v>17</v>
      </c>
      <c r="C6" s="18" t="s">
        <v>18</v>
      </c>
      <c r="D6" s="18" t="s">
        <v>19</v>
      </c>
      <c r="E6" s="18" t="s">
        <v>20</v>
      </c>
      <c r="F6" s="18" t="s">
        <v>21</v>
      </c>
    </row>
    <row r="7" ht="13.5" customHeight="1">
      <c r="A7" s="21" t="s">
        <v>22</v>
      </c>
      <c r="B7" s="21" t="s">
        <v>23</v>
      </c>
      <c r="C7" s="21" t="s">
        <v>5</v>
      </c>
      <c r="D7" s="21">
        <f t="shared" ref="D7:D9" si="1">ROUND(1/$B$1,2)</f>
        <v>0.02</v>
      </c>
      <c r="E7" s="21">
        <v>388.0</v>
      </c>
      <c r="F7" s="33">
        <f t="shared" ref="F7:F9" si="2">ROUND(IFERROR(D7*E7,0),0)</f>
        <v>8</v>
      </c>
    </row>
    <row r="8" ht="13.5" customHeight="1">
      <c r="A8" s="21" t="s">
        <v>27</v>
      </c>
      <c r="B8" s="21" t="s">
        <v>29</v>
      </c>
      <c r="C8" s="21" t="s">
        <v>30</v>
      </c>
      <c r="D8" s="21">
        <f t="shared" si="1"/>
        <v>0.02</v>
      </c>
      <c r="E8" s="21">
        <v>4613.0</v>
      </c>
      <c r="F8" s="33">
        <f t="shared" si="2"/>
        <v>92</v>
      </c>
    </row>
    <row r="9" ht="13.5" customHeight="1">
      <c r="A9" s="21" t="s">
        <v>32</v>
      </c>
      <c r="B9" s="21" t="s">
        <v>33</v>
      </c>
      <c r="C9" s="21" t="s">
        <v>34</v>
      </c>
      <c r="D9" s="21">
        <f t="shared" si="1"/>
        <v>0.02</v>
      </c>
      <c r="E9" s="21">
        <v>4832.0</v>
      </c>
      <c r="F9" s="33">
        <f t="shared" si="2"/>
        <v>97</v>
      </c>
    </row>
    <row r="10" ht="13.5" customHeight="1">
      <c r="D10" s="7"/>
      <c r="E10" s="14" t="s">
        <v>37</v>
      </c>
      <c r="F10" s="46">
        <f>ROUND(SUM(F6:F9),0)</f>
        <v>197</v>
      </c>
    </row>
    <row r="11" ht="13.5" customHeight="1">
      <c r="D11" s="7"/>
      <c r="E11" s="9"/>
      <c r="F11" s="48"/>
    </row>
    <row r="12" ht="13.5" customHeight="1">
      <c r="A12" s="14" t="s">
        <v>44</v>
      </c>
      <c r="D12" s="7"/>
      <c r="E12" s="9"/>
      <c r="F12" s="48"/>
    </row>
    <row r="13" ht="13.5" customHeight="1">
      <c r="A13" s="18" t="s">
        <v>15</v>
      </c>
      <c r="B13" s="18" t="s">
        <v>17</v>
      </c>
      <c r="C13" s="18" t="s">
        <v>18</v>
      </c>
      <c r="D13" s="18" t="s">
        <v>19</v>
      </c>
      <c r="E13" s="18" t="s">
        <v>20</v>
      </c>
      <c r="F13" s="53" t="s">
        <v>21</v>
      </c>
    </row>
    <row r="14" ht="13.5" customHeight="1">
      <c r="A14" s="21" t="s">
        <v>22</v>
      </c>
      <c r="B14" s="21" t="s">
        <v>50</v>
      </c>
      <c r="C14" s="21" t="s">
        <v>51</v>
      </c>
      <c r="D14" s="33">
        <v>0.03</v>
      </c>
      <c r="E14" s="21">
        <v>65000.0</v>
      </c>
      <c r="F14" s="33">
        <f t="shared" ref="F14:F15" si="3">ROUND(IFERROR(D14*E14,0),0)</f>
        <v>1950</v>
      </c>
    </row>
    <row r="15" ht="13.5" customHeight="1">
      <c r="A15" s="21" t="s">
        <v>27</v>
      </c>
      <c r="B15" s="21" t="s">
        <v>54</v>
      </c>
      <c r="C15" s="21" t="s">
        <v>51</v>
      </c>
      <c r="D15" s="21">
        <v>0.03</v>
      </c>
      <c r="E15" s="21">
        <v>50000.0</v>
      </c>
      <c r="F15" s="33">
        <f t="shared" si="3"/>
        <v>1500</v>
      </c>
    </row>
    <row r="16" ht="13.5" customHeight="1">
      <c r="D16" s="7"/>
      <c r="E16" s="14" t="s">
        <v>37</v>
      </c>
      <c r="F16" s="46">
        <f>SUM(F14:F15)</f>
        <v>3450</v>
      </c>
    </row>
    <row r="17" ht="13.5" customHeight="1">
      <c r="D17" s="7"/>
      <c r="E17" s="14" t="s">
        <v>59</v>
      </c>
      <c r="F17" s="46">
        <f>F16*0.5</f>
        <v>1725</v>
      </c>
    </row>
    <row r="18" ht="13.5" customHeight="1">
      <c r="D18" s="7"/>
      <c r="E18" s="14" t="s">
        <v>60</v>
      </c>
      <c r="F18" s="46">
        <f>F16+F17</f>
        <v>5175</v>
      </c>
    </row>
    <row r="19" ht="13.5" customHeight="1">
      <c r="D19" s="7"/>
      <c r="E19" s="9"/>
      <c r="F19" s="48"/>
    </row>
    <row r="20" ht="13.5" customHeight="1">
      <c r="A20" s="14" t="s">
        <v>62</v>
      </c>
      <c r="D20" s="7"/>
      <c r="E20" s="9"/>
      <c r="F20" s="48"/>
    </row>
    <row r="21" ht="13.5" customHeight="1">
      <c r="A21" s="18" t="s">
        <v>15</v>
      </c>
      <c r="B21" s="18" t="s">
        <v>17</v>
      </c>
      <c r="C21" s="18" t="s">
        <v>18</v>
      </c>
      <c r="D21" s="18" t="s">
        <v>19</v>
      </c>
      <c r="E21" s="18" t="s">
        <v>20</v>
      </c>
      <c r="F21" s="53" t="s">
        <v>21</v>
      </c>
    </row>
    <row r="22" ht="13.5" customHeight="1">
      <c r="A22" s="21" t="s">
        <v>22</v>
      </c>
      <c r="B22" s="21" t="s">
        <v>65</v>
      </c>
      <c r="C22" s="21" t="s">
        <v>51</v>
      </c>
      <c r="D22" s="21">
        <v>0.03</v>
      </c>
      <c r="E22" s="21">
        <v>7000.0</v>
      </c>
      <c r="F22" s="33">
        <f t="shared" ref="F22:F23" si="4">ROUND(IFERROR(D22*E22,0),0)</f>
        <v>210</v>
      </c>
    </row>
    <row r="23" ht="13.5" customHeight="1">
      <c r="A23" s="21" t="s">
        <v>27</v>
      </c>
      <c r="B23" s="21" t="s">
        <v>69</v>
      </c>
      <c r="C23" s="21" t="s">
        <v>51</v>
      </c>
      <c r="D23" s="21">
        <v>0.03</v>
      </c>
      <c r="E23" s="21">
        <v>55454.0</v>
      </c>
      <c r="F23" s="33">
        <f t="shared" si="4"/>
        <v>1664</v>
      </c>
    </row>
    <row r="24" ht="13.5" customHeight="1">
      <c r="D24" s="7"/>
      <c r="E24" s="14" t="s">
        <v>37</v>
      </c>
      <c r="F24" s="46">
        <f>SUM(F22:F23)</f>
        <v>1874</v>
      </c>
    </row>
    <row r="25" ht="13.5" customHeight="1">
      <c r="D25" s="7"/>
      <c r="E25" s="9"/>
      <c r="F25" s="48"/>
    </row>
    <row r="26" ht="13.5" customHeight="1">
      <c r="A26" s="14" t="s">
        <v>74</v>
      </c>
      <c r="D26" s="7"/>
      <c r="E26" s="9"/>
      <c r="F26" s="48"/>
    </row>
    <row r="27" ht="13.5" customHeight="1">
      <c r="A27" s="18"/>
      <c r="B27" s="18" t="s">
        <v>17</v>
      </c>
      <c r="C27" s="18" t="s">
        <v>18</v>
      </c>
      <c r="D27" s="18" t="s">
        <v>19</v>
      </c>
      <c r="E27" s="18" t="s">
        <v>20</v>
      </c>
      <c r="F27" s="53" t="s">
        <v>21</v>
      </c>
    </row>
    <row r="28" ht="13.5" customHeight="1">
      <c r="D28" s="7"/>
      <c r="E28" s="14" t="s">
        <v>77</v>
      </c>
      <c r="F28" s="46">
        <f>F10+F18+F24</f>
        <v>7246</v>
      </c>
    </row>
    <row r="29" ht="13.5" customHeight="1">
      <c r="D29" s="7"/>
      <c r="E29" s="14" t="s">
        <v>6</v>
      </c>
      <c r="F29" s="46">
        <f>ROUND(F28*F2,0)</f>
        <v>1087</v>
      </c>
    </row>
    <row r="30" ht="13.5" customHeight="1">
      <c r="D30" s="7"/>
      <c r="E30" s="14" t="s">
        <v>8</v>
      </c>
      <c r="F30" s="46">
        <f>ROUND(F28*F3,0)</f>
        <v>1449</v>
      </c>
    </row>
    <row r="31" ht="13.5" customHeight="1">
      <c r="D31" s="7"/>
      <c r="E31" s="14" t="s">
        <v>81</v>
      </c>
      <c r="F31" s="46">
        <f>F28+F29+F30</f>
        <v>9782</v>
      </c>
    </row>
    <row r="32" ht="13.5" customHeight="1">
      <c r="D32" s="7"/>
      <c r="E32" s="14" t="s">
        <v>82</v>
      </c>
      <c r="F32" s="46">
        <f>ROUND(F30*0.19,0)</f>
        <v>275</v>
      </c>
    </row>
    <row r="33" ht="13.5" customHeight="1">
      <c r="D33" s="14" t="s">
        <v>83</v>
      </c>
      <c r="E33" s="18" t="s">
        <v>84</v>
      </c>
      <c r="F33" s="53">
        <f>F31+F32</f>
        <v>10057</v>
      </c>
    </row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>
      <c r="A45" s="3" t="s">
        <v>1</v>
      </c>
      <c r="B45" s="5">
        <v>40.0</v>
      </c>
      <c r="C45" s="3" t="s">
        <v>2</v>
      </c>
      <c r="D45" s="7"/>
      <c r="E45" s="3" t="s">
        <v>3</v>
      </c>
      <c r="F45" s="9"/>
    </row>
    <row r="46" ht="13.5" customHeight="1">
      <c r="A46" s="3" t="s">
        <v>4</v>
      </c>
      <c r="B46" s="5" t="s">
        <v>5</v>
      </c>
      <c r="D46" s="7"/>
      <c r="E46" s="3" t="s">
        <v>6</v>
      </c>
      <c r="F46" s="10">
        <v>0.15</v>
      </c>
    </row>
    <row r="47" ht="13.5" customHeight="1">
      <c r="D47" s="7"/>
      <c r="E47" s="3" t="s">
        <v>8</v>
      </c>
      <c r="F47" s="10">
        <v>0.2</v>
      </c>
    </row>
    <row r="48" ht="13.5" customHeight="1">
      <c r="B48" s="5" t="s">
        <v>88</v>
      </c>
      <c r="D48" s="7"/>
      <c r="E48" s="3" t="s">
        <v>8</v>
      </c>
      <c r="F48" s="10">
        <v>0.19</v>
      </c>
    </row>
    <row r="49" ht="13.5" customHeight="1">
      <c r="A49" s="14" t="s">
        <v>11</v>
      </c>
      <c r="D49" s="7"/>
      <c r="E49" s="9"/>
      <c r="F49" s="9"/>
    </row>
    <row r="50" ht="13.5" customHeight="1">
      <c r="A50" s="18" t="s">
        <v>15</v>
      </c>
      <c r="B50" s="18" t="s">
        <v>17</v>
      </c>
      <c r="C50" s="18" t="s">
        <v>18</v>
      </c>
      <c r="D50" s="18" t="s">
        <v>19</v>
      </c>
      <c r="E50" s="18" t="s">
        <v>20</v>
      </c>
      <c r="F50" s="18" t="s">
        <v>21</v>
      </c>
    </row>
    <row r="51" ht="13.5" customHeight="1">
      <c r="A51" s="21" t="s">
        <v>22</v>
      </c>
      <c r="B51" s="21" t="s">
        <v>91</v>
      </c>
      <c r="C51" s="21" t="s">
        <v>5</v>
      </c>
      <c r="D51" s="33">
        <v>0.3</v>
      </c>
      <c r="E51" s="21">
        <v>388.0</v>
      </c>
      <c r="F51" s="33">
        <f t="shared" ref="F51:F56" si="5">ROUND(IFERROR(D51*E51,0),0)</f>
        <v>116</v>
      </c>
    </row>
    <row r="52" ht="13.5" customHeight="1">
      <c r="A52" s="21" t="s">
        <v>27</v>
      </c>
      <c r="B52" s="21" t="s">
        <v>94</v>
      </c>
      <c r="C52" s="21" t="s">
        <v>30</v>
      </c>
      <c r="D52" s="33">
        <v>0.25</v>
      </c>
      <c r="E52" s="21">
        <v>4613.0</v>
      </c>
      <c r="F52" s="33">
        <f t="shared" si="5"/>
        <v>1153</v>
      </c>
    </row>
    <row r="53" ht="13.5" customHeight="1">
      <c r="A53" s="21" t="s">
        <v>32</v>
      </c>
      <c r="B53" s="21" t="s">
        <v>95</v>
      </c>
      <c r="C53" s="21" t="s">
        <v>96</v>
      </c>
      <c r="D53" s="33">
        <v>0.04</v>
      </c>
      <c r="E53" s="21">
        <v>4832.0</v>
      </c>
      <c r="F53" s="33">
        <f t="shared" si="5"/>
        <v>193</v>
      </c>
    </row>
    <row r="54" ht="13.5" customHeight="1">
      <c r="A54" s="21" t="s">
        <v>99</v>
      </c>
      <c r="B54" s="21" t="s">
        <v>100</v>
      </c>
      <c r="C54" s="21" t="s">
        <v>30</v>
      </c>
      <c r="D54" s="33">
        <v>0.4</v>
      </c>
      <c r="E54" s="21">
        <v>1891.0</v>
      </c>
      <c r="F54" s="33">
        <f t="shared" si="5"/>
        <v>756</v>
      </c>
    </row>
    <row r="55" ht="13.5" customHeight="1">
      <c r="A55" s="21" t="s">
        <v>101</v>
      </c>
      <c r="B55" s="21" t="s">
        <v>103</v>
      </c>
      <c r="C55" s="21" t="s">
        <v>104</v>
      </c>
      <c r="D55" s="33">
        <v>0.2</v>
      </c>
      <c r="E55" s="21">
        <v>11504.0</v>
      </c>
      <c r="F55" s="33">
        <f t="shared" si="5"/>
        <v>2301</v>
      </c>
    </row>
    <row r="56" ht="13.5" customHeight="1">
      <c r="A56" s="21" t="s">
        <v>107</v>
      </c>
      <c r="B56" s="21" t="s">
        <v>108</v>
      </c>
      <c r="C56" s="21" t="s">
        <v>109</v>
      </c>
      <c r="D56" s="33">
        <v>1.0</v>
      </c>
      <c r="E56" s="21">
        <v>10500.0</v>
      </c>
      <c r="F56" s="33">
        <f t="shared" si="5"/>
        <v>10500</v>
      </c>
    </row>
    <row r="57" ht="13.5" customHeight="1">
      <c r="D57" s="7"/>
      <c r="E57" s="14" t="s">
        <v>37</v>
      </c>
      <c r="F57" s="46">
        <f>SUM(F51:F56)</f>
        <v>15019</v>
      </c>
    </row>
    <row r="58" ht="13.5" customHeight="1">
      <c r="D58" s="7"/>
      <c r="E58" s="9"/>
      <c r="F58" s="9"/>
    </row>
    <row r="59" ht="13.5" customHeight="1">
      <c r="A59" s="14" t="s">
        <v>44</v>
      </c>
      <c r="D59" s="7"/>
      <c r="F59" s="9"/>
    </row>
    <row r="60" ht="13.5" customHeight="1">
      <c r="A60" s="18" t="s">
        <v>15</v>
      </c>
      <c r="B60" s="18" t="s">
        <v>17</v>
      </c>
      <c r="C60" s="18" t="s">
        <v>18</v>
      </c>
      <c r="D60" s="18" t="s">
        <v>19</v>
      </c>
      <c r="E60" s="18" t="s">
        <v>20</v>
      </c>
      <c r="F60" s="18" t="s">
        <v>21</v>
      </c>
    </row>
    <row r="61" ht="13.5" customHeight="1">
      <c r="A61" s="21" t="s">
        <v>22</v>
      </c>
      <c r="B61" s="21" t="s">
        <v>112</v>
      </c>
      <c r="C61" s="21" t="s">
        <v>51</v>
      </c>
      <c r="D61" s="144">
        <v>0.04</v>
      </c>
      <c r="E61" s="21">
        <v>65000.0</v>
      </c>
      <c r="F61" s="33">
        <f t="shared" ref="F61:F62" si="6">ROUND(IFERROR(D61*E61,0),0)</f>
        <v>2600</v>
      </c>
    </row>
    <row r="62" ht="13.5" customHeight="1">
      <c r="A62" s="21" t="s">
        <v>27</v>
      </c>
      <c r="B62" s="21" t="s">
        <v>54</v>
      </c>
      <c r="C62" s="21" t="s">
        <v>51</v>
      </c>
      <c r="D62" s="144">
        <v>0.04</v>
      </c>
      <c r="E62" s="21">
        <v>50000.0</v>
      </c>
      <c r="F62" s="33">
        <f t="shared" si="6"/>
        <v>2000</v>
      </c>
    </row>
    <row r="63" ht="13.5" customHeight="1">
      <c r="D63" s="7"/>
      <c r="E63" s="14" t="s">
        <v>37</v>
      </c>
      <c r="F63" s="46">
        <f>SUM(F61:F62)</f>
        <v>4600</v>
      </c>
    </row>
    <row r="64" ht="13.5" customHeight="1">
      <c r="D64" s="7"/>
      <c r="E64" s="14" t="s">
        <v>59</v>
      </c>
      <c r="F64" s="46">
        <f>F63*0.5</f>
        <v>2300</v>
      </c>
    </row>
    <row r="65" ht="13.5" customHeight="1">
      <c r="D65" s="7"/>
      <c r="E65" s="14" t="s">
        <v>60</v>
      </c>
      <c r="F65" s="46">
        <f>F63+F64</f>
        <v>6900</v>
      </c>
    </row>
    <row r="66" ht="13.5" customHeight="1">
      <c r="D66" s="7"/>
      <c r="E66" s="9"/>
      <c r="F66" s="48"/>
    </row>
    <row r="67" ht="13.5" customHeight="1">
      <c r="A67" s="14" t="s">
        <v>62</v>
      </c>
      <c r="D67" s="7"/>
      <c r="E67" s="9"/>
      <c r="F67" s="9"/>
    </row>
    <row r="68" ht="13.5" customHeight="1">
      <c r="A68" s="18" t="s">
        <v>15</v>
      </c>
      <c r="B68" s="18" t="s">
        <v>17</v>
      </c>
      <c r="C68" s="18" t="s">
        <v>18</v>
      </c>
      <c r="D68" s="18" t="s">
        <v>19</v>
      </c>
      <c r="E68" s="18" t="s">
        <v>20</v>
      </c>
      <c r="F68" s="18" t="s">
        <v>21</v>
      </c>
    </row>
    <row r="69" ht="13.5" customHeight="1">
      <c r="A69" s="21" t="s">
        <v>22</v>
      </c>
      <c r="B69" s="21" t="s">
        <v>119</v>
      </c>
      <c r="C69" s="21" t="s">
        <v>51</v>
      </c>
      <c r="D69" s="21">
        <f>ROUND(0.25/B45,2)</f>
        <v>0.01</v>
      </c>
      <c r="E69" s="21">
        <v>3500.0</v>
      </c>
      <c r="F69" s="33">
        <f t="shared" ref="F69:F70" si="7">ROUND(IFERROR(D69*E69,0),0)</f>
        <v>35</v>
      </c>
    </row>
    <row r="70" ht="13.5" customHeight="1">
      <c r="A70" s="21" t="s">
        <v>27</v>
      </c>
      <c r="B70" s="21" t="s">
        <v>69</v>
      </c>
      <c r="C70" s="21" t="s">
        <v>51</v>
      </c>
      <c r="D70" s="21">
        <v>0.04</v>
      </c>
      <c r="E70" s="21">
        <v>55454.0</v>
      </c>
      <c r="F70" s="33">
        <f t="shared" si="7"/>
        <v>2218</v>
      </c>
    </row>
    <row r="71" ht="13.5" customHeight="1">
      <c r="D71" s="7"/>
      <c r="E71" s="14" t="s">
        <v>37</v>
      </c>
      <c r="F71" s="46">
        <f>SUM(F69:F70)</f>
        <v>2253</v>
      </c>
    </row>
    <row r="72" ht="13.5" customHeight="1">
      <c r="D72" s="7"/>
      <c r="E72" s="9"/>
      <c r="F72" s="9"/>
    </row>
    <row r="73" ht="13.5" customHeight="1">
      <c r="A73" s="14" t="s">
        <v>74</v>
      </c>
      <c r="D73" s="7"/>
      <c r="E73" s="9"/>
      <c r="F73" s="9"/>
    </row>
    <row r="74" ht="13.5" customHeight="1">
      <c r="A74" s="18"/>
      <c r="B74" s="18" t="s">
        <v>17</v>
      </c>
      <c r="C74" s="18" t="s">
        <v>18</v>
      </c>
      <c r="D74" s="18" t="s">
        <v>19</v>
      </c>
      <c r="E74" s="18" t="s">
        <v>20</v>
      </c>
      <c r="F74" s="18" t="s">
        <v>21</v>
      </c>
    </row>
    <row r="75" ht="13.5" customHeight="1">
      <c r="D75" s="7"/>
      <c r="E75" s="14" t="s">
        <v>77</v>
      </c>
      <c r="F75" s="46">
        <f>F57+F65+F71</f>
        <v>24172</v>
      </c>
    </row>
    <row r="76" ht="13.5" customHeight="1">
      <c r="D76" s="7"/>
      <c r="E76" s="14" t="s">
        <v>6</v>
      </c>
      <c r="F76" s="46">
        <f>ROUND(F75*F46,0)</f>
        <v>3626</v>
      </c>
    </row>
    <row r="77" ht="13.5" customHeight="1">
      <c r="D77" s="7"/>
      <c r="E77" s="14" t="s">
        <v>8</v>
      </c>
      <c r="F77" s="46">
        <f>ROUND(F75*F47,0)</f>
        <v>4834</v>
      </c>
    </row>
    <row r="78" ht="13.5" customHeight="1">
      <c r="D78" s="7"/>
      <c r="E78" s="14" t="s">
        <v>81</v>
      </c>
      <c r="F78" s="46">
        <f>F75+F76+F77</f>
        <v>32632</v>
      </c>
    </row>
    <row r="79" ht="13.5" customHeight="1">
      <c r="D79" s="7"/>
      <c r="E79" s="14" t="s">
        <v>82</v>
      </c>
      <c r="F79" s="46">
        <f>ROUND(F78*F48,0)</f>
        <v>6200</v>
      </c>
    </row>
    <row r="80" ht="13.5" customHeight="1">
      <c r="D80" s="14" t="s">
        <v>83</v>
      </c>
      <c r="E80" s="18" t="s">
        <v>84</v>
      </c>
      <c r="F80" s="53">
        <f>F78+F79</f>
        <v>38832</v>
      </c>
    </row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>
      <c r="A89" s="3" t="s">
        <v>1</v>
      </c>
      <c r="B89" s="5">
        <v>70.0</v>
      </c>
      <c r="C89" s="3" t="s">
        <v>2</v>
      </c>
      <c r="D89" s="7"/>
      <c r="E89" s="3" t="s">
        <v>3</v>
      </c>
      <c r="F89" s="9"/>
    </row>
    <row r="90" ht="13.5" customHeight="1">
      <c r="A90" s="3" t="s">
        <v>4</v>
      </c>
      <c r="B90" s="5" t="s">
        <v>5</v>
      </c>
      <c r="D90" s="7"/>
      <c r="E90" s="3" t="s">
        <v>6</v>
      </c>
      <c r="F90" s="10">
        <v>0.15</v>
      </c>
    </row>
    <row r="91" ht="13.5" customHeight="1">
      <c r="D91" s="7"/>
      <c r="E91" s="3" t="s">
        <v>8</v>
      </c>
      <c r="F91" s="10">
        <v>0.2</v>
      </c>
    </row>
    <row r="92" ht="13.5" customHeight="1">
      <c r="B92" s="5" t="s">
        <v>133</v>
      </c>
      <c r="D92" s="7"/>
      <c r="E92" s="3" t="s">
        <v>10</v>
      </c>
      <c r="F92" s="10">
        <v>0.19</v>
      </c>
    </row>
    <row r="93" ht="13.5" customHeight="1">
      <c r="A93" s="14" t="s">
        <v>11</v>
      </c>
      <c r="D93" s="7"/>
      <c r="E93" s="9"/>
      <c r="F93" s="9"/>
    </row>
    <row r="94" ht="13.5" customHeight="1">
      <c r="A94" s="18" t="s">
        <v>15</v>
      </c>
      <c r="B94" s="18" t="s">
        <v>17</v>
      </c>
      <c r="C94" s="18" t="s">
        <v>18</v>
      </c>
      <c r="D94" s="18" t="s">
        <v>19</v>
      </c>
      <c r="E94" s="18" t="s">
        <v>20</v>
      </c>
      <c r="F94" s="18" t="s">
        <v>21</v>
      </c>
    </row>
    <row r="95" ht="13.5" customHeight="1">
      <c r="A95" s="21" t="s">
        <v>22</v>
      </c>
      <c r="B95" s="21" t="s">
        <v>136</v>
      </c>
      <c r="C95" s="21" t="s">
        <v>5</v>
      </c>
      <c r="D95" s="21">
        <v>1.0</v>
      </c>
      <c r="E95" s="21">
        <v>2000.0</v>
      </c>
      <c r="F95" s="33">
        <f t="shared" ref="F95:F96" si="8">ROUND(IFERROR(D95*E95,0),0)</f>
        <v>2000</v>
      </c>
    </row>
    <row r="96" ht="13.5" customHeight="1">
      <c r="A96" s="21" t="s">
        <v>27</v>
      </c>
      <c r="B96" s="21" t="s">
        <v>139</v>
      </c>
      <c r="C96" s="21" t="s">
        <v>30</v>
      </c>
      <c r="D96" s="21">
        <v>10.0</v>
      </c>
      <c r="E96" s="21">
        <v>16.0</v>
      </c>
      <c r="F96" s="33">
        <f t="shared" si="8"/>
        <v>160</v>
      </c>
    </row>
    <row r="97" ht="13.5" customHeight="1">
      <c r="D97" s="7"/>
      <c r="E97" s="14" t="s">
        <v>37</v>
      </c>
      <c r="F97" s="46">
        <f>SUM(F95:F96)</f>
        <v>2160</v>
      </c>
    </row>
    <row r="98" ht="13.5" customHeight="1">
      <c r="D98" s="7"/>
      <c r="E98" s="9"/>
      <c r="F98" s="48"/>
    </row>
    <row r="99" ht="13.5" customHeight="1">
      <c r="A99" s="14" t="s">
        <v>44</v>
      </c>
      <c r="D99" s="7"/>
      <c r="E99" s="9"/>
      <c r="F99" s="48"/>
    </row>
    <row r="100" ht="13.5" customHeight="1">
      <c r="A100" s="18" t="s">
        <v>15</v>
      </c>
      <c r="B100" s="18" t="s">
        <v>17</v>
      </c>
      <c r="C100" s="18" t="s">
        <v>18</v>
      </c>
      <c r="D100" s="18" t="s">
        <v>19</v>
      </c>
      <c r="E100" s="18" t="s">
        <v>20</v>
      </c>
      <c r="F100" s="53" t="s">
        <v>21</v>
      </c>
    </row>
    <row r="101" ht="13.5" customHeight="1">
      <c r="A101" s="21" t="s">
        <v>22</v>
      </c>
      <c r="B101" s="21" t="s">
        <v>144</v>
      </c>
      <c r="C101" s="21" t="s">
        <v>51</v>
      </c>
      <c r="D101" s="33">
        <v>0.01</v>
      </c>
      <c r="E101" s="21">
        <v>65000.0</v>
      </c>
      <c r="F101" s="33">
        <f t="shared" ref="F101:F102" si="9">ROUND(IFERROR(D101*E101,0),0)</f>
        <v>650</v>
      </c>
    </row>
    <row r="102" ht="13.5" customHeight="1">
      <c r="A102" s="21" t="s">
        <v>27</v>
      </c>
      <c r="B102" s="21" t="s">
        <v>54</v>
      </c>
      <c r="C102" s="21" t="s">
        <v>51</v>
      </c>
      <c r="D102" s="33">
        <v>0.01</v>
      </c>
      <c r="E102" s="21">
        <v>50000.0</v>
      </c>
      <c r="F102" s="33">
        <f t="shared" si="9"/>
        <v>500</v>
      </c>
    </row>
    <row r="103" ht="13.5" customHeight="1">
      <c r="D103" s="7"/>
      <c r="E103" s="14" t="s">
        <v>37</v>
      </c>
      <c r="F103" s="46">
        <f>SUM(F101:F102)</f>
        <v>1150</v>
      </c>
    </row>
    <row r="104" ht="13.5" customHeight="1">
      <c r="D104" s="7"/>
      <c r="E104" s="14" t="s">
        <v>59</v>
      </c>
      <c r="F104" s="46">
        <f>ROUND(F103*0.5,0)</f>
        <v>575</v>
      </c>
    </row>
    <row r="105" ht="13.5" customHeight="1">
      <c r="D105" s="7"/>
      <c r="E105" s="14" t="s">
        <v>60</v>
      </c>
      <c r="F105" s="46">
        <f>F103+F104</f>
        <v>1725</v>
      </c>
    </row>
    <row r="106" ht="13.5" customHeight="1">
      <c r="D106" s="7"/>
      <c r="E106" s="9"/>
      <c r="F106" s="48"/>
    </row>
    <row r="107" ht="13.5" customHeight="1">
      <c r="A107" s="14" t="s">
        <v>62</v>
      </c>
      <c r="D107" s="7"/>
      <c r="E107" s="9"/>
      <c r="F107" s="48"/>
    </row>
    <row r="108" ht="13.5" customHeight="1">
      <c r="A108" s="18" t="s">
        <v>15</v>
      </c>
      <c r="B108" s="18" t="s">
        <v>17</v>
      </c>
      <c r="C108" s="18" t="s">
        <v>18</v>
      </c>
      <c r="D108" s="18" t="s">
        <v>19</v>
      </c>
      <c r="E108" s="18" t="s">
        <v>20</v>
      </c>
      <c r="F108" s="53" t="s">
        <v>21</v>
      </c>
    </row>
    <row r="109" ht="13.5" customHeight="1">
      <c r="A109" s="21" t="s">
        <v>22</v>
      </c>
      <c r="B109" s="21" t="s">
        <v>152</v>
      </c>
      <c r="C109" s="21" t="s">
        <v>51</v>
      </c>
      <c r="D109" s="21">
        <f>ROUND(0.3/B89,2)</f>
        <v>0</v>
      </c>
      <c r="E109" s="21">
        <v>3500.0</v>
      </c>
      <c r="F109" s="33">
        <f>ROUND(IFERROR(D109*E109,0),0)</f>
        <v>0</v>
      </c>
    </row>
    <row r="110" ht="13.5" customHeight="1">
      <c r="D110" s="7"/>
      <c r="E110" s="14" t="s">
        <v>37</v>
      </c>
      <c r="F110" s="46">
        <f>SUM(F109)</f>
        <v>0</v>
      </c>
    </row>
    <row r="111" ht="13.5" customHeight="1">
      <c r="D111" s="7"/>
      <c r="E111" s="9"/>
      <c r="F111" s="48"/>
    </row>
    <row r="112" ht="13.5" customHeight="1">
      <c r="A112" s="14" t="s">
        <v>74</v>
      </c>
      <c r="D112" s="7"/>
      <c r="E112" s="9"/>
      <c r="F112" s="48"/>
    </row>
    <row r="113" ht="13.5" customHeight="1">
      <c r="A113" s="18"/>
      <c r="B113" s="18" t="s">
        <v>17</v>
      </c>
      <c r="C113" s="18" t="s">
        <v>18</v>
      </c>
      <c r="D113" s="18" t="s">
        <v>19</v>
      </c>
      <c r="E113" s="18" t="s">
        <v>20</v>
      </c>
      <c r="F113" s="53" t="s">
        <v>21</v>
      </c>
    </row>
    <row r="114" ht="13.5" customHeight="1">
      <c r="D114" s="7"/>
      <c r="E114" s="14" t="s">
        <v>77</v>
      </c>
      <c r="F114" s="46">
        <f>ROUND(F97+F105+F110,0)</f>
        <v>3885</v>
      </c>
    </row>
    <row r="115" ht="13.5" customHeight="1">
      <c r="D115" s="7"/>
      <c r="E115" s="14" t="s">
        <v>6</v>
      </c>
      <c r="F115" s="46">
        <f>ROUND(F114*F90,0)</f>
        <v>583</v>
      </c>
    </row>
    <row r="116" ht="13.5" customHeight="1">
      <c r="D116" s="7"/>
      <c r="E116" s="14" t="s">
        <v>8</v>
      </c>
      <c r="F116" s="46">
        <f>ROUND(F114*F91,0)</f>
        <v>777</v>
      </c>
    </row>
    <row r="117" ht="13.5" customHeight="1">
      <c r="D117" s="7"/>
      <c r="E117" s="14" t="s">
        <v>81</v>
      </c>
      <c r="F117" s="46">
        <f>ROUND(F114+F115+F116,0)</f>
        <v>5245</v>
      </c>
    </row>
    <row r="118" ht="13.5" customHeight="1">
      <c r="D118" s="7"/>
      <c r="E118" s="14" t="s">
        <v>82</v>
      </c>
      <c r="F118" s="46">
        <f>ROUND(F117*F92,0)</f>
        <v>997</v>
      </c>
    </row>
    <row r="119" ht="13.5" customHeight="1">
      <c r="D119" s="14" t="s">
        <v>83</v>
      </c>
      <c r="E119" s="18" t="s">
        <v>84</v>
      </c>
      <c r="F119" s="184">
        <f>F117+F118</f>
        <v>6242</v>
      </c>
    </row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>
      <c r="A133" s="3" t="s">
        <v>1</v>
      </c>
      <c r="B133" s="5">
        <v>100.0</v>
      </c>
      <c r="C133" s="3" t="s">
        <v>2</v>
      </c>
      <c r="D133" s="7"/>
      <c r="E133" s="3" t="s">
        <v>3</v>
      </c>
      <c r="F133" s="9"/>
    </row>
    <row r="134" ht="13.5" customHeight="1">
      <c r="A134" s="3" t="s">
        <v>4</v>
      </c>
      <c r="B134" s="5" t="s">
        <v>5</v>
      </c>
      <c r="D134" s="7"/>
      <c r="E134" s="3" t="s">
        <v>6</v>
      </c>
      <c r="F134" s="10">
        <v>0.15</v>
      </c>
    </row>
    <row r="135" ht="13.5" customHeight="1">
      <c r="D135" s="7"/>
      <c r="E135" s="3" t="s">
        <v>8</v>
      </c>
      <c r="F135" s="10">
        <v>0.2</v>
      </c>
    </row>
    <row r="136" ht="13.5" customHeight="1">
      <c r="B136" s="5" t="s">
        <v>163</v>
      </c>
      <c r="D136" s="7"/>
      <c r="E136" s="3" t="s">
        <v>10</v>
      </c>
      <c r="F136" s="10">
        <v>0.19</v>
      </c>
    </row>
    <row r="137" ht="13.5" customHeight="1">
      <c r="A137" s="14" t="s">
        <v>11</v>
      </c>
      <c r="D137" s="7"/>
      <c r="E137" s="9"/>
      <c r="F137" s="9"/>
    </row>
    <row r="138" ht="13.5" customHeight="1">
      <c r="A138" s="18" t="s">
        <v>15</v>
      </c>
      <c r="B138" s="18" t="s">
        <v>17</v>
      </c>
      <c r="C138" s="18" t="s">
        <v>18</v>
      </c>
      <c r="D138" s="18" t="s">
        <v>19</v>
      </c>
      <c r="E138" s="18" t="s">
        <v>20</v>
      </c>
      <c r="F138" s="18" t="s">
        <v>21</v>
      </c>
    </row>
    <row r="139" ht="13.5" customHeight="1">
      <c r="A139" s="21" t="s">
        <v>22</v>
      </c>
      <c r="B139" s="21" t="s">
        <v>164</v>
      </c>
      <c r="C139" s="21" t="s">
        <v>5</v>
      </c>
      <c r="D139" s="21">
        <v>1.0</v>
      </c>
      <c r="E139" s="21">
        <v>900.0</v>
      </c>
      <c r="F139" s="33">
        <f t="shared" ref="F139:F141" si="10">ROUND(IFERROR(D139*E139,0),0)</f>
        <v>900</v>
      </c>
    </row>
    <row r="140" ht="13.5" customHeight="1">
      <c r="A140" s="21" t="s">
        <v>27</v>
      </c>
      <c r="B140" s="21" t="s">
        <v>167</v>
      </c>
      <c r="C140" s="21" t="s">
        <v>30</v>
      </c>
      <c r="D140" s="21">
        <v>8.0</v>
      </c>
      <c r="E140" s="21">
        <v>16.0</v>
      </c>
      <c r="F140" s="33">
        <f t="shared" si="10"/>
        <v>128</v>
      </c>
    </row>
    <row r="141" ht="13.5" customHeight="1">
      <c r="A141" s="21" t="s">
        <v>32</v>
      </c>
      <c r="B141" s="21" t="s">
        <v>168</v>
      </c>
      <c r="C141" s="21" t="s">
        <v>96</v>
      </c>
      <c r="D141" s="21">
        <v>0.01</v>
      </c>
      <c r="E141" s="21">
        <v>4832.0</v>
      </c>
      <c r="F141" s="33">
        <f t="shared" si="10"/>
        <v>48</v>
      </c>
    </row>
    <row r="142" ht="13.5" customHeight="1">
      <c r="D142" s="7"/>
      <c r="E142" s="14" t="s">
        <v>37</v>
      </c>
      <c r="F142" s="46">
        <f>SUM(F139:F141)</f>
        <v>1076</v>
      </c>
    </row>
    <row r="143" ht="13.5" customHeight="1">
      <c r="D143" s="7"/>
      <c r="E143" s="9"/>
      <c r="F143" s="48"/>
    </row>
    <row r="144" ht="13.5" customHeight="1">
      <c r="A144" s="14" t="s">
        <v>44</v>
      </c>
      <c r="D144" s="7"/>
      <c r="E144" s="9"/>
      <c r="F144" s="48"/>
    </row>
    <row r="145" ht="13.5" customHeight="1">
      <c r="A145" s="18" t="s">
        <v>15</v>
      </c>
      <c r="B145" s="18" t="s">
        <v>17</v>
      </c>
      <c r="C145" s="18" t="s">
        <v>18</v>
      </c>
      <c r="D145" s="18" t="s">
        <v>19</v>
      </c>
      <c r="E145" s="18" t="s">
        <v>20</v>
      </c>
      <c r="F145" s="53" t="s">
        <v>21</v>
      </c>
    </row>
    <row r="146" ht="13.5" customHeight="1">
      <c r="A146" s="21" t="s">
        <v>22</v>
      </c>
      <c r="B146" s="21" t="s">
        <v>54</v>
      </c>
      <c r="C146" s="21" t="s">
        <v>51</v>
      </c>
      <c r="D146" s="187">
        <f>ROUND(1/B133,2)</f>
        <v>0.01</v>
      </c>
      <c r="E146" s="21">
        <v>50000.0</v>
      </c>
      <c r="F146" s="33">
        <f t="shared" ref="F146:F147" si="11">ROUND(IFERROR(D146*E146,0),0)</f>
        <v>500</v>
      </c>
    </row>
    <row r="147" ht="13.5" customHeight="1">
      <c r="A147" s="21" t="s">
        <v>27</v>
      </c>
      <c r="B147" s="21" t="s">
        <v>54</v>
      </c>
      <c r="C147" s="21" t="s">
        <v>51</v>
      </c>
      <c r="D147" s="187">
        <f>ROUND(0.8/B133,2)</f>
        <v>0.01</v>
      </c>
      <c r="E147" s="21">
        <v>50000.0</v>
      </c>
      <c r="F147" s="33">
        <f t="shared" si="11"/>
        <v>500</v>
      </c>
    </row>
    <row r="148" ht="13.5" customHeight="1">
      <c r="D148" s="7"/>
      <c r="E148" s="14" t="s">
        <v>37</v>
      </c>
      <c r="F148" s="46">
        <f>SUM(F146:F147)</f>
        <v>1000</v>
      </c>
    </row>
    <row r="149" ht="13.5" customHeight="1">
      <c r="D149" s="7"/>
      <c r="E149" s="14" t="s">
        <v>59</v>
      </c>
      <c r="F149" s="46">
        <f>ROUND(F148*0.5,0)</f>
        <v>500</v>
      </c>
    </row>
    <row r="150" ht="13.5" customHeight="1">
      <c r="D150" s="7"/>
      <c r="E150" s="14" t="s">
        <v>60</v>
      </c>
      <c r="F150" s="46">
        <f>F148+F149</f>
        <v>1500</v>
      </c>
    </row>
    <row r="151" ht="13.5" customHeight="1">
      <c r="D151" s="7"/>
      <c r="E151" s="9"/>
      <c r="F151" s="48"/>
    </row>
    <row r="152" ht="13.5" customHeight="1">
      <c r="A152" s="14" t="s">
        <v>62</v>
      </c>
      <c r="D152" s="7"/>
      <c r="E152" s="9"/>
      <c r="F152" s="48"/>
    </row>
    <row r="153" ht="13.5" customHeight="1">
      <c r="A153" s="18" t="s">
        <v>15</v>
      </c>
      <c r="B153" s="18" t="s">
        <v>17</v>
      </c>
      <c r="C153" s="18" t="s">
        <v>18</v>
      </c>
      <c r="D153" s="18" t="s">
        <v>19</v>
      </c>
      <c r="E153" s="18" t="s">
        <v>20</v>
      </c>
      <c r="F153" s="53" t="s">
        <v>21</v>
      </c>
    </row>
    <row r="154" ht="13.5" customHeight="1">
      <c r="A154" s="21" t="s">
        <v>22</v>
      </c>
      <c r="B154" s="21" t="s">
        <v>152</v>
      </c>
      <c r="C154" s="21" t="s">
        <v>51</v>
      </c>
      <c r="D154" s="21">
        <f>ROUND(0.6/B133,2)</f>
        <v>0.01</v>
      </c>
      <c r="E154" s="21">
        <v>3500.0</v>
      </c>
      <c r="F154" s="33">
        <f>ROUND(IFERROR(D154*E154,0),0)</f>
        <v>35</v>
      </c>
    </row>
    <row r="155" ht="13.5" customHeight="1">
      <c r="D155" s="7"/>
      <c r="E155" s="14" t="s">
        <v>37</v>
      </c>
      <c r="F155" s="46">
        <f>SUM(F154)</f>
        <v>35</v>
      </c>
    </row>
    <row r="156" ht="13.5" customHeight="1">
      <c r="D156" s="7"/>
      <c r="E156" s="9"/>
      <c r="F156" s="9"/>
    </row>
    <row r="157" ht="13.5" customHeight="1">
      <c r="A157" s="14" t="s">
        <v>74</v>
      </c>
      <c r="D157" s="7"/>
      <c r="E157" s="9"/>
      <c r="F157" s="9"/>
    </row>
    <row r="158" ht="13.5" customHeight="1">
      <c r="A158" s="18"/>
      <c r="B158" s="18" t="s">
        <v>17</v>
      </c>
      <c r="C158" s="18" t="s">
        <v>18</v>
      </c>
      <c r="D158" s="18" t="s">
        <v>19</v>
      </c>
      <c r="E158" s="18" t="s">
        <v>20</v>
      </c>
      <c r="F158" s="18" t="s">
        <v>21</v>
      </c>
    </row>
    <row r="159" ht="13.5" customHeight="1">
      <c r="D159" s="7"/>
      <c r="E159" s="14" t="s">
        <v>77</v>
      </c>
      <c r="F159" s="46">
        <f>F142+F150+F155</f>
        <v>2611</v>
      </c>
    </row>
    <row r="160" ht="13.5" customHeight="1">
      <c r="D160" s="7"/>
      <c r="E160" s="14" t="s">
        <v>6</v>
      </c>
      <c r="F160" s="46">
        <f>ROUND(F159*F134,0)</f>
        <v>392</v>
      </c>
    </row>
    <row r="161" ht="13.5" customHeight="1">
      <c r="D161" s="7"/>
      <c r="E161" s="14" t="s">
        <v>8</v>
      </c>
      <c r="F161" s="46">
        <f>ROUND(F159*F135,0)</f>
        <v>522</v>
      </c>
    </row>
    <row r="162" ht="13.5" customHeight="1">
      <c r="D162" s="7"/>
      <c r="E162" s="14" t="s">
        <v>81</v>
      </c>
      <c r="F162" s="46">
        <f>ROUND(F159+F160+F161,0)</f>
        <v>3525</v>
      </c>
    </row>
    <row r="163" ht="13.5" customHeight="1">
      <c r="D163" s="7"/>
      <c r="E163" s="14" t="s">
        <v>82</v>
      </c>
      <c r="F163" s="46">
        <f>ROUND(F162*F136,0)</f>
        <v>670</v>
      </c>
    </row>
    <row r="164" ht="13.5" customHeight="1">
      <c r="D164" s="14" t="s">
        <v>83</v>
      </c>
      <c r="E164" s="18" t="s">
        <v>84</v>
      </c>
      <c r="F164" s="53">
        <f>F162+F163</f>
        <v>4195</v>
      </c>
    </row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>
      <c r="A177" s="3" t="s">
        <v>1</v>
      </c>
      <c r="B177" s="5">
        <v>120.0</v>
      </c>
      <c r="C177" s="3" t="s">
        <v>2</v>
      </c>
      <c r="D177" s="7"/>
      <c r="E177" s="3" t="s">
        <v>3</v>
      </c>
      <c r="F177" s="9"/>
    </row>
    <row r="178" ht="13.5" customHeight="1">
      <c r="A178" s="3" t="s">
        <v>4</v>
      </c>
      <c r="B178" s="5" t="s">
        <v>5</v>
      </c>
      <c r="D178" s="7"/>
      <c r="E178" s="3" t="s">
        <v>6</v>
      </c>
      <c r="F178" s="10">
        <v>0.2</v>
      </c>
    </row>
    <row r="179" ht="13.5" customHeight="1">
      <c r="D179" s="7"/>
      <c r="E179" s="3" t="s">
        <v>8</v>
      </c>
      <c r="F179" s="10">
        <v>0.3</v>
      </c>
    </row>
    <row r="180" ht="13.5" customHeight="1">
      <c r="B180" s="5" t="s">
        <v>184</v>
      </c>
      <c r="D180" s="7"/>
      <c r="E180" s="3" t="s">
        <v>10</v>
      </c>
      <c r="F180" s="10">
        <v>0.19</v>
      </c>
    </row>
    <row r="181" ht="13.5" customHeight="1">
      <c r="A181" s="14" t="s">
        <v>11</v>
      </c>
      <c r="D181" s="7"/>
      <c r="E181" s="9"/>
      <c r="F181" s="9"/>
    </row>
    <row r="182" ht="13.5" customHeight="1">
      <c r="A182" s="18" t="s">
        <v>15</v>
      </c>
      <c r="B182" s="18" t="s">
        <v>17</v>
      </c>
      <c r="C182" s="18" t="s">
        <v>18</v>
      </c>
      <c r="D182" s="18" t="s">
        <v>19</v>
      </c>
      <c r="E182" s="18" t="s">
        <v>20</v>
      </c>
      <c r="F182" s="18" t="s">
        <v>21</v>
      </c>
    </row>
    <row r="183" ht="13.5" customHeight="1">
      <c r="A183" s="21" t="s">
        <v>22</v>
      </c>
      <c r="B183" s="21" t="s">
        <v>187</v>
      </c>
      <c r="C183" s="21" t="s">
        <v>5</v>
      </c>
      <c r="D183" s="21">
        <v>1.0</v>
      </c>
      <c r="E183" s="21">
        <v>5500.0</v>
      </c>
      <c r="F183" s="33">
        <f t="shared" ref="F183:F184" si="12">ROUND(IFERROR(D183*E183,0),0)</f>
        <v>5500</v>
      </c>
    </row>
    <row r="184" ht="13.5" customHeight="1">
      <c r="A184" s="21" t="s">
        <v>27</v>
      </c>
      <c r="B184" s="21" t="s">
        <v>188</v>
      </c>
      <c r="C184" s="21" t="s">
        <v>30</v>
      </c>
      <c r="D184" s="21">
        <v>12.0</v>
      </c>
      <c r="E184" s="21">
        <v>60.0</v>
      </c>
      <c r="F184" s="33">
        <f t="shared" si="12"/>
        <v>720</v>
      </c>
    </row>
    <row r="185" ht="13.5" customHeight="1">
      <c r="D185" s="7"/>
      <c r="E185" s="14" t="s">
        <v>37</v>
      </c>
      <c r="F185" s="46">
        <f>SUM(F183:F184)</f>
        <v>6220</v>
      </c>
    </row>
    <row r="186" ht="13.5" customHeight="1">
      <c r="D186" s="7"/>
      <c r="E186" s="9"/>
      <c r="F186" s="48"/>
    </row>
    <row r="187" ht="13.5" customHeight="1">
      <c r="A187" s="14" t="s">
        <v>44</v>
      </c>
      <c r="D187" s="7"/>
      <c r="E187" s="9"/>
      <c r="F187" s="48"/>
    </row>
    <row r="188" ht="13.5" customHeight="1">
      <c r="A188" s="18" t="s">
        <v>15</v>
      </c>
      <c r="B188" s="18" t="s">
        <v>17</v>
      </c>
      <c r="C188" s="18" t="s">
        <v>18</v>
      </c>
      <c r="D188" s="18" t="s">
        <v>19</v>
      </c>
      <c r="E188" s="18" t="s">
        <v>20</v>
      </c>
      <c r="F188" s="53" t="s">
        <v>21</v>
      </c>
    </row>
    <row r="189" ht="13.5" customHeight="1">
      <c r="A189" s="21" t="s">
        <v>22</v>
      </c>
      <c r="B189" s="21" t="s">
        <v>191</v>
      </c>
      <c r="C189" s="21" t="s">
        <v>51</v>
      </c>
      <c r="D189" s="187">
        <v>0.02</v>
      </c>
      <c r="E189" s="21">
        <v>65000.0</v>
      </c>
      <c r="F189" s="33">
        <f t="shared" ref="F189:F190" si="13">ROUND(IFERROR(D189*E189,0),0)</f>
        <v>1300</v>
      </c>
    </row>
    <row r="190" ht="13.5" customHeight="1">
      <c r="A190" s="21" t="s">
        <v>27</v>
      </c>
      <c r="B190" s="21" t="s">
        <v>54</v>
      </c>
      <c r="C190" s="21" t="s">
        <v>51</v>
      </c>
      <c r="D190" s="187">
        <f>ROUND(1/B177,2)</f>
        <v>0.01</v>
      </c>
      <c r="E190" s="21">
        <v>50000.0</v>
      </c>
      <c r="F190" s="33">
        <f t="shared" si="13"/>
        <v>500</v>
      </c>
    </row>
    <row r="191" ht="13.5" customHeight="1">
      <c r="D191" s="7"/>
      <c r="E191" s="14" t="s">
        <v>37</v>
      </c>
      <c r="F191" s="46">
        <f>SUM(F189:F190)</f>
        <v>1800</v>
      </c>
    </row>
    <row r="192" ht="13.5" customHeight="1">
      <c r="D192" s="7"/>
      <c r="E192" s="14" t="s">
        <v>59</v>
      </c>
      <c r="F192" s="46">
        <f>ROUND(F191*0.5,0)</f>
        <v>900</v>
      </c>
    </row>
    <row r="193" ht="13.5" customHeight="1">
      <c r="D193" s="7"/>
      <c r="E193" s="14" t="s">
        <v>60</v>
      </c>
      <c r="F193" s="46">
        <f>F191+F192</f>
        <v>2700</v>
      </c>
    </row>
    <row r="194" ht="13.5" customHeight="1">
      <c r="D194" s="7"/>
      <c r="E194" s="9"/>
      <c r="F194" s="48"/>
    </row>
    <row r="195" ht="13.5" customHeight="1">
      <c r="A195" s="14" t="s">
        <v>62</v>
      </c>
      <c r="D195" s="7"/>
      <c r="E195" s="9"/>
      <c r="F195" s="48"/>
    </row>
    <row r="196" ht="13.5" customHeight="1">
      <c r="A196" s="18" t="s">
        <v>15</v>
      </c>
      <c r="B196" s="18" t="s">
        <v>17</v>
      </c>
      <c r="C196" s="18" t="s">
        <v>18</v>
      </c>
      <c r="D196" s="18" t="s">
        <v>19</v>
      </c>
      <c r="E196" s="18" t="s">
        <v>20</v>
      </c>
      <c r="F196" s="53" t="s">
        <v>21</v>
      </c>
    </row>
    <row r="197" ht="13.5" customHeight="1">
      <c r="A197" s="21" t="s">
        <v>22</v>
      </c>
      <c r="B197" s="21" t="s">
        <v>198</v>
      </c>
      <c r="C197" s="21" t="s">
        <v>51</v>
      </c>
      <c r="D197" s="144">
        <v>0.0</v>
      </c>
      <c r="E197" s="21">
        <v>8000.0</v>
      </c>
      <c r="F197" s="33">
        <f t="shared" ref="F197:F198" si="14">ROUND(IFERROR(D197*E197,0),0)</f>
        <v>0</v>
      </c>
    </row>
    <row r="198" ht="13.5" customHeight="1">
      <c r="A198" s="21" t="s">
        <v>27</v>
      </c>
      <c r="B198" s="21" t="s">
        <v>152</v>
      </c>
      <c r="C198" s="21" t="s">
        <v>51</v>
      </c>
      <c r="D198" s="144">
        <v>0.0</v>
      </c>
      <c r="E198" s="21">
        <v>3500.0</v>
      </c>
      <c r="F198" s="33">
        <f t="shared" si="14"/>
        <v>0</v>
      </c>
    </row>
    <row r="199" ht="13.5" customHeight="1">
      <c r="D199" s="7"/>
      <c r="E199" s="14" t="s">
        <v>37</v>
      </c>
      <c r="F199" s="46">
        <f>SUM(F197:F198)</f>
        <v>0</v>
      </c>
    </row>
    <row r="200" ht="13.5" customHeight="1">
      <c r="D200" s="7"/>
      <c r="E200" s="9"/>
      <c r="F200" s="48"/>
    </row>
    <row r="201" ht="13.5" customHeight="1">
      <c r="A201" s="14" t="s">
        <v>74</v>
      </c>
      <c r="D201" s="7"/>
      <c r="E201" s="9"/>
      <c r="F201" s="48"/>
    </row>
    <row r="202" ht="13.5" customHeight="1">
      <c r="A202" s="18"/>
      <c r="B202" s="18" t="s">
        <v>17</v>
      </c>
      <c r="C202" s="18" t="s">
        <v>18</v>
      </c>
      <c r="D202" s="18" t="s">
        <v>19</v>
      </c>
      <c r="E202" s="18" t="s">
        <v>20</v>
      </c>
      <c r="F202" s="53" t="s">
        <v>21</v>
      </c>
    </row>
    <row r="203" ht="13.5" customHeight="1">
      <c r="D203" s="7"/>
      <c r="E203" s="14" t="s">
        <v>77</v>
      </c>
      <c r="F203" s="46">
        <f>ROUND(F185+F193+F199,0)</f>
        <v>8920</v>
      </c>
    </row>
    <row r="204" ht="13.5" customHeight="1">
      <c r="D204" s="7"/>
      <c r="E204" s="14" t="s">
        <v>6</v>
      </c>
      <c r="F204" s="46">
        <f>ROUND(F203*F178,0)</f>
        <v>1784</v>
      </c>
    </row>
    <row r="205" ht="13.5" customHeight="1">
      <c r="D205" s="7"/>
      <c r="E205" s="14" t="s">
        <v>8</v>
      </c>
      <c r="F205" s="46">
        <f>ROUND(F203*F179,0)</f>
        <v>2676</v>
      </c>
    </row>
    <row r="206" ht="13.5" customHeight="1">
      <c r="D206" s="7"/>
      <c r="E206" s="14" t="s">
        <v>81</v>
      </c>
      <c r="F206" s="46">
        <f>ROUND(F203+F204+F205,0)</f>
        <v>13380</v>
      </c>
    </row>
    <row r="207" ht="13.5" customHeight="1">
      <c r="D207" s="7"/>
      <c r="E207" s="14" t="s">
        <v>82</v>
      </c>
      <c r="F207" s="46">
        <f>ROUND(F206*F180,0)</f>
        <v>2542</v>
      </c>
    </row>
    <row r="208" ht="13.5" customHeight="1">
      <c r="D208" s="14" t="s">
        <v>83</v>
      </c>
      <c r="E208" s="18" t="s">
        <v>84</v>
      </c>
      <c r="F208" s="53">
        <f>F206+F207</f>
        <v>15922</v>
      </c>
    </row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>
      <c r="A221" s="3" t="s">
        <v>1</v>
      </c>
      <c r="B221" s="5">
        <v>20.0</v>
      </c>
      <c r="C221" s="3" t="s">
        <v>2</v>
      </c>
      <c r="D221" s="7"/>
      <c r="E221" s="3" t="s">
        <v>3</v>
      </c>
      <c r="F221" s="9"/>
    </row>
    <row r="222" ht="13.5" customHeight="1">
      <c r="A222" s="3" t="s">
        <v>4</v>
      </c>
      <c r="B222" s="5" t="s">
        <v>5</v>
      </c>
      <c r="D222" s="7"/>
      <c r="E222" s="3" t="s">
        <v>6</v>
      </c>
      <c r="F222" s="10">
        <v>0.15</v>
      </c>
    </row>
    <row r="223" ht="13.5" customHeight="1">
      <c r="D223" s="7"/>
      <c r="E223" s="3" t="s">
        <v>8</v>
      </c>
      <c r="F223" s="10">
        <v>0.2</v>
      </c>
    </row>
    <row r="224" ht="13.5" customHeight="1">
      <c r="A224" s="212" t="s">
        <v>137</v>
      </c>
      <c r="B224" s="5" t="s">
        <v>205</v>
      </c>
      <c r="D224" s="7"/>
      <c r="E224" s="3" t="s">
        <v>10</v>
      </c>
      <c r="F224" s="10">
        <v>0.19</v>
      </c>
    </row>
    <row r="225" ht="13.5" customHeight="1">
      <c r="A225" s="14" t="s">
        <v>11</v>
      </c>
      <c r="D225" s="7"/>
      <c r="E225" s="9"/>
      <c r="F225" s="9"/>
    </row>
    <row r="226" ht="13.5" customHeight="1">
      <c r="A226" s="18" t="s">
        <v>15</v>
      </c>
      <c r="B226" s="18" t="s">
        <v>17</v>
      </c>
      <c r="C226" s="18" t="s">
        <v>18</v>
      </c>
      <c r="D226" s="18" t="s">
        <v>19</v>
      </c>
      <c r="E226" s="18" t="s">
        <v>20</v>
      </c>
      <c r="F226" s="18" t="s">
        <v>21</v>
      </c>
    </row>
    <row r="227" ht="13.5" customHeight="1">
      <c r="A227" s="21" t="s">
        <v>22</v>
      </c>
      <c r="B227" s="21" t="s">
        <v>208</v>
      </c>
      <c r="C227" s="21" t="s">
        <v>5</v>
      </c>
      <c r="D227" s="21">
        <v>1.05</v>
      </c>
      <c r="E227" s="21">
        <v>10250.0</v>
      </c>
      <c r="F227" s="33">
        <f t="shared" ref="F227:F229" si="15">ROUND(IFERROR(D227*E227,0),0)</f>
        <v>10763</v>
      </c>
    </row>
    <row r="228" ht="13.5" customHeight="1">
      <c r="A228" s="21" t="s">
        <v>27</v>
      </c>
      <c r="B228" s="21" t="s">
        <v>211</v>
      </c>
      <c r="C228" s="21" t="s">
        <v>30</v>
      </c>
      <c r="D228" s="21">
        <v>8.0</v>
      </c>
      <c r="E228" s="21">
        <v>80.0</v>
      </c>
      <c r="F228" s="33">
        <f t="shared" si="15"/>
        <v>640</v>
      </c>
    </row>
    <row r="229" ht="13.5" customHeight="1">
      <c r="A229" s="21" t="s">
        <v>32</v>
      </c>
      <c r="B229" s="21" t="s">
        <v>212</v>
      </c>
      <c r="C229" s="21" t="s">
        <v>96</v>
      </c>
      <c r="D229" s="21">
        <v>0.02</v>
      </c>
      <c r="E229" s="21">
        <v>4832.0</v>
      </c>
      <c r="F229" s="33">
        <f t="shared" si="15"/>
        <v>97</v>
      </c>
    </row>
    <row r="230" ht="13.5" customHeight="1">
      <c r="D230" s="7"/>
      <c r="E230" s="14" t="s">
        <v>37</v>
      </c>
      <c r="F230" s="46">
        <f>SUM(F227:F229)</f>
        <v>11500</v>
      </c>
    </row>
    <row r="231" ht="13.5" customHeight="1">
      <c r="D231" s="7"/>
      <c r="E231" s="9"/>
      <c r="F231" s="48"/>
    </row>
    <row r="232" ht="13.5" customHeight="1">
      <c r="A232" s="14" t="s">
        <v>44</v>
      </c>
      <c r="D232" s="7"/>
      <c r="E232" s="9"/>
      <c r="F232" s="48"/>
    </row>
    <row r="233" ht="13.5" customHeight="1">
      <c r="A233" s="18" t="s">
        <v>15</v>
      </c>
      <c r="B233" s="18" t="s">
        <v>17</v>
      </c>
      <c r="C233" s="18" t="s">
        <v>18</v>
      </c>
      <c r="D233" s="18" t="s">
        <v>19</v>
      </c>
      <c r="E233" s="18" t="s">
        <v>20</v>
      </c>
      <c r="F233" s="53" t="s">
        <v>21</v>
      </c>
    </row>
    <row r="234" ht="13.5" customHeight="1">
      <c r="A234" s="21" t="s">
        <v>22</v>
      </c>
      <c r="B234" s="21" t="s">
        <v>217</v>
      </c>
      <c r="C234" s="21" t="s">
        <v>51</v>
      </c>
      <c r="D234" s="21">
        <v>0.04</v>
      </c>
      <c r="E234" s="21">
        <v>65000.0</v>
      </c>
      <c r="F234" s="33">
        <f t="shared" ref="F234:F235" si="16">ROUND(IFERROR(D234*E234,0),0)</f>
        <v>2600</v>
      </c>
    </row>
    <row r="235" ht="13.5" customHeight="1">
      <c r="A235" s="21" t="s">
        <v>27</v>
      </c>
      <c r="B235" s="21" t="s">
        <v>54</v>
      </c>
      <c r="C235" s="21" t="s">
        <v>51</v>
      </c>
      <c r="D235" s="21">
        <v>0.04</v>
      </c>
      <c r="E235" s="21">
        <v>50000.0</v>
      </c>
      <c r="F235" s="33">
        <f t="shared" si="16"/>
        <v>2000</v>
      </c>
    </row>
    <row r="236" ht="13.5" customHeight="1">
      <c r="D236" s="7"/>
      <c r="E236" s="14" t="s">
        <v>37</v>
      </c>
      <c r="F236" s="46">
        <f>SUM(F234:F235)</f>
        <v>4600</v>
      </c>
    </row>
    <row r="237" ht="13.5" customHeight="1">
      <c r="D237" s="7"/>
      <c r="E237" s="14" t="s">
        <v>59</v>
      </c>
      <c r="F237" s="46">
        <f>ROUND(F236*0.5,0)</f>
        <v>2300</v>
      </c>
    </row>
    <row r="238" ht="13.5" customHeight="1">
      <c r="D238" s="7"/>
      <c r="E238" s="14" t="s">
        <v>60</v>
      </c>
      <c r="F238" s="46">
        <f>F236+F237</f>
        <v>6900</v>
      </c>
    </row>
    <row r="239" ht="13.5" customHeight="1">
      <c r="D239" s="7"/>
      <c r="E239" s="9"/>
      <c r="F239" s="9"/>
    </row>
    <row r="240" ht="13.5" customHeight="1">
      <c r="A240" s="14" t="s">
        <v>62</v>
      </c>
      <c r="D240" s="7"/>
      <c r="E240" s="9"/>
      <c r="F240" s="9"/>
    </row>
    <row r="241" ht="13.5" customHeight="1">
      <c r="A241" s="18" t="s">
        <v>15</v>
      </c>
      <c r="B241" s="18" t="s">
        <v>17</v>
      </c>
      <c r="C241" s="18" t="s">
        <v>18</v>
      </c>
      <c r="D241" s="18" t="s">
        <v>19</v>
      </c>
      <c r="E241" s="18" t="s">
        <v>20</v>
      </c>
      <c r="F241" s="18" t="s">
        <v>21</v>
      </c>
    </row>
    <row r="242" ht="13.5" customHeight="1">
      <c r="A242" s="21" t="s">
        <v>22</v>
      </c>
      <c r="B242" s="21" t="s">
        <v>224</v>
      </c>
      <c r="C242" s="21" t="s">
        <v>51</v>
      </c>
      <c r="D242" s="21">
        <f>0.2/B221</f>
        <v>0.01</v>
      </c>
      <c r="E242" s="21">
        <v>8000.0</v>
      </c>
      <c r="F242" s="33">
        <f t="shared" ref="F242:F243" si="17">ROUND(IFERROR(D242*E242,0),0)</f>
        <v>80</v>
      </c>
    </row>
    <row r="243" ht="13.5" customHeight="1">
      <c r="A243" s="21" t="s">
        <v>27</v>
      </c>
      <c r="B243" s="21" t="s">
        <v>152</v>
      </c>
      <c r="C243" s="21" t="s">
        <v>51</v>
      </c>
      <c r="D243" s="21">
        <f>0.2/B221</f>
        <v>0.01</v>
      </c>
      <c r="E243" s="21">
        <v>3500.0</v>
      </c>
      <c r="F243" s="33">
        <f t="shared" si="17"/>
        <v>35</v>
      </c>
    </row>
    <row r="244" ht="13.5" customHeight="1">
      <c r="D244" s="7"/>
      <c r="E244" s="14" t="s">
        <v>37</v>
      </c>
      <c r="F244" s="46">
        <f>SUM(F242:F243)</f>
        <v>115</v>
      </c>
    </row>
    <row r="245" ht="13.5" customHeight="1">
      <c r="D245" s="7"/>
      <c r="E245" s="9"/>
      <c r="F245" s="9"/>
    </row>
    <row r="246" ht="13.5" customHeight="1">
      <c r="A246" s="14" t="s">
        <v>74</v>
      </c>
      <c r="D246" s="7"/>
      <c r="E246" s="9"/>
      <c r="F246" s="9"/>
    </row>
    <row r="247" ht="13.5" customHeight="1">
      <c r="A247" s="18"/>
      <c r="B247" s="18" t="s">
        <v>17</v>
      </c>
      <c r="C247" s="18" t="s">
        <v>18</v>
      </c>
      <c r="D247" s="18" t="s">
        <v>19</v>
      </c>
      <c r="E247" s="18" t="s">
        <v>20</v>
      </c>
      <c r="F247" s="18" t="s">
        <v>21</v>
      </c>
    </row>
    <row r="248" ht="13.5" customHeight="1">
      <c r="D248" s="7"/>
      <c r="E248" s="14" t="s">
        <v>77</v>
      </c>
      <c r="F248" s="46">
        <f>F230+F238+F244</f>
        <v>18515</v>
      </c>
    </row>
    <row r="249" ht="13.5" customHeight="1">
      <c r="D249" s="7"/>
      <c r="E249" s="14" t="s">
        <v>6</v>
      </c>
      <c r="F249" s="46">
        <f>ROUND(F248*F222,0)</f>
        <v>2777</v>
      </c>
    </row>
    <row r="250" ht="13.5" customHeight="1">
      <c r="D250" s="7"/>
      <c r="E250" s="14" t="s">
        <v>8</v>
      </c>
      <c r="F250" s="46">
        <f>ROUND(F248*F223,0)</f>
        <v>3703</v>
      </c>
    </row>
    <row r="251" ht="13.5" customHeight="1">
      <c r="D251" s="7"/>
      <c r="E251" s="14" t="s">
        <v>81</v>
      </c>
      <c r="F251" s="46">
        <f>F248+F249+F250</f>
        <v>24995</v>
      </c>
    </row>
    <row r="252" ht="13.5" customHeight="1">
      <c r="D252" s="7"/>
      <c r="E252" s="14" t="s">
        <v>82</v>
      </c>
      <c r="F252" s="46">
        <f>ROUND(F251*F224,0)</f>
        <v>4749</v>
      </c>
    </row>
    <row r="253" ht="13.5" customHeight="1">
      <c r="D253" s="14" t="s">
        <v>83</v>
      </c>
      <c r="E253" s="18" t="s">
        <v>84</v>
      </c>
      <c r="F253" s="53">
        <f>F251+F252</f>
        <v>29744</v>
      </c>
    </row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>
      <c r="A265" s="3" t="s">
        <v>1</v>
      </c>
      <c r="B265" s="5">
        <v>55.0</v>
      </c>
      <c r="C265" s="3" t="s">
        <v>2</v>
      </c>
      <c r="D265" s="7"/>
      <c r="E265" s="3" t="s">
        <v>3</v>
      </c>
      <c r="F265" s="9"/>
    </row>
    <row r="266" ht="13.5" customHeight="1">
      <c r="A266" s="3" t="s">
        <v>4</v>
      </c>
      <c r="B266" s="5" t="s">
        <v>142</v>
      </c>
      <c r="D266" s="7"/>
      <c r="E266" s="3" t="s">
        <v>6</v>
      </c>
      <c r="F266" s="10">
        <v>0.15</v>
      </c>
    </row>
    <row r="267" ht="13.5" customHeight="1">
      <c r="D267" s="7"/>
      <c r="E267" s="3" t="s">
        <v>8</v>
      </c>
      <c r="F267" s="10">
        <v>0.2</v>
      </c>
    </row>
    <row r="268" ht="13.5" customHeight="1">
      <c r="B268" s="5" t="s">
        <v>237</v>
      </c>
      <c r="D268" s="7"/>
      <c r="E268" s="3" t="s">
        <v>10</v>
      </c>
      <c r="F268" s="10">
        <v>0.19</v>
      </c>
    </row>
    <row r="269" ht="13.5" customHeight="1">
      <c r="A269" s="14" t="s">
        <v>11</v>
      </c>
      <c r="D269" s="7"/>
      <c r="E269" s="9"/>
      <c r="F269" s="9"/>
    </row>
    <row r="270" ht="13.5" customHeight="1">
      <c r="A270" s="18" t="s">
        <v>15</v>
      </c>
      <c r="B270" s="18" t="s">
        <v>17</v>
      </c>
      <c r="C270" s="18" t="s">
        <v>18</v>
      </c>
      <c r="D270" s="18" t="s">
        <v>19</v>
      </c>
      <c r="E270" s="18" t="s">
        <v>20</v>
      </c>
      <c r="F270" s="18" t="s">
        <v>21</v>
      </c>
    </row>
    <row r="271" ht="13.5" customHeight="1">
      <c r="A271" s="21" t="s">
        <v>22</v>
      </c>
      <c r="B271" s="21" t="s">
        <v>239</v>
      </c>
      <c r="C271" s="21" t="s">
        <v>142</v>
      </c>
      <c r="D271" s="21">
        <v>1.0</v>
      </c>
      <c r="E271" s="21">
        <v>8500.0</v>
      </c>
      <c r="F271" s="33">
        <f t="shared" ref="F271:F273" si="18">ROUND(IFERROR(D271*E271,0),0)</f>
        <v>8500</v>
      </c>
    </row>
    <row r="272" ht="13.5" customHeight="1">
      <c r="A272" s="21" t="s">
        <v>27</v>
      </c>
      <c r="B272" s="21" t="s">
        <v>241</v>
      </c>
      <c r="C272" s="21" t="s">
        <v>30</v>
      </c>
      <c r="D272" s="21">
        <v>2.0</v>
      </c>
      <c r="E272" s="21">
        <v>55.0</v>
      </c>
      <c r="F272" s="33">
        <f t="shared" si="18"/>
        <v>110</v>
      </c>
    </row>
    <row r="273" ht="13.5" customHeight="1">
      <c r="A273" s="21" t="s">
        <v>32</v>
      </c>
      <c r="B273" s="21" t="s">
        <v>242</v>
      </c>
      <c r="C273" s="21" t="s">
        <v>96</v>
      </c>
      <c r="D273" s="21">
        <v>0.01</v>
      </c>
      <c r="E273" s="21">
        <v>4832.0</v>
      </c>
      <c r="F273" s="33">
        <f t="shared" si="18"/>
        <v>48</v>
      </c>
    </row>
    <row r="274" ht="13.5" customHeight="1">
      <c r="D274" s="7"/>
      <c r="E274" s="14" t="s">
        <v>37</v>
      </c>
      <c r="F274" s="46">
        <f>SUM(F271:F273)</f>
        <v>8658</v>
      </c>
    </row>
    <row r="275" ht="13.5" customHeight="1">
      <c r="D275" s="7"/>
      <c r="E275" s="9"/>
      <c r="F275" s="9"/>
    </row>
    <row r="276" ht="13.5" customHeight="1">
      <c r="A276" s="14" t="s">
        <v>44</v>
      </c>
      <c r="D276" s="7"/>
      <c r="E276" s="9"/>
      <c r="F276" s="9"/>
    </row>
    <row r="277" ht="13.5" customHeight="1">
      <c r="A277" s="18" t="s">
        <v>15</v>
      </c>
      <c r="B277" s="18" t="s">
        <v>17</v>
      </c>
      <c r="C277" s="18" t="s">
        <v>18</v>
      </c>
      <c r="D277" s="18" t="s">
        <v>19</v>
      </c>
      <c r="E277" s="18" t="s">
        <v>20</v>
      </c>
      <c r="F277" s="18" t="s">
        <v>21</v>
      </c>
    </row>
    <row r="278" ht="13.5" customHeight="1">
      <c r="A278" s="21" t="s">
        <v>22</v>
      </c>
      <c r="B278" s="21" t="s">
        <v>245</v>
      </c>
      <c r="C278" s="21" t="s">
        <v>51</v>
      </c>
      <c r="D278" s="144">
        <f>ROUND(0.3/B265,2)</f>
        <v>0.01</v>
      </c>
      <c r="E278" s="21">
        <v>65000.0</v>
      </c>
      <c r="F278" s="33">
        <f t="shared" ref="F278:F279" si="19">ROUND(IFERROR(D278*E278,0),0)</f>
        <v>650</v>
      </c>
    </row>
    <row r="279" ht="13.5" customHeight="1">
      <c r="A279" s="21" t="s">
        <v>27</v>
      </c>
      <c r="B279" s="21" t="s">
        <v>54</v>
      </c>
      <c r="C279" s="21" t="s">
        <v>51</v>
      </c>
      <c r="D279" s="144">
        <f>ROUND(0.3/B265,2)</f>
        <v>0.01</v>
      </c>
      <c r="E279" s="21">
        <v>50000.0</v>
      </c>
      <c r="F279" s="33">
        <f t="shared" si="19"/>
        <v>500</v>
      </c>
    </row>
    <row r="280" ht="13.5" customHeight="1">
      <c r="D280" s="7"/>
      <c r="E280" s="14" t="s">
        <v>37</v>
      </c>
      <c r="F280" s="46">
        <f>SUM(F278:F279)</f>
        <v>1150</v>
      </c>
    </row>
    <row r="281" ht="13.5" customHeight="1">
      <c r="D281" s="7"/>
      <c r="E281" s="14" t="s">
        <v>59</v>
      </c>
      <c r="F281" s="46">
        <f>F280*0.5</f>
        <v>575</v>
      </c>
    </row>
    <row r="282" ht="13.5" customHeight="1">
      <c r="D282" s="7"/>
      <c r="E282" s="14" t="s">
        <v>60</v>
      </c>
      <c r="F282" s="46">
        <f>F280+F281</f>
        <v>1725</v>
      </c>
    </row>
    <row r="283" ht="13.5" customHeight="1">
      <c r="D283" s="7"/>
      <c r="E283" s="9"/>
      <c r="F283" s="9"/>
    </row>
    <row r="284" ht="13.5" customHeight="1">
      <c r="A284" s="14" t="s">
        <v>62</v>
      </c>
      <c r="D284" s="7"/>
      <c r="E284" s="9"/>
      <c r="F284" s="9"/>
    </row>
    <row r="285" ht="13.5" customHeight="1">
      <c r="A285" s="18" t="s">
        <v>15</v>
      </c>
      <c r="B285" s="18" t="s">
        <v>17</v>
      </c>
      <c r="C285" s="18" t="s">
        <v>18</v>
      </c>
      <c r="D285" s="18" t="s">
        <v>19</v>
      </c>
      <c r="E285" s="18" t="s">
        <v>20</v>
      </c>
      <c r="F285" s="18" t="s">
        <v>21</v>
      </c>
    </row>
    <row r="286" ht="13.5" customHeight="1">
      <c r="A286" s="21" t="s">
        <v>22</v>
      </c>
      <c r="B286" s="21" t="s">
        <v>249</v>
      </c>
      <c r="C286" s="21" t="s">
        <v>51</v>
      </c>
      <c r="D286" s="215">
        <f>ROUND(0.3/B265,2)</f>
        <v>0.01</v>
      </c>
      <c r="E286" s="21">
        <v>8000.0</v>
      </c>
      <c r="F286" s="33">
        <f>ROUND(IFERROR(D286*E286,0),0)</f>
        <v>80</v>
      </c>
    </row>
    <row r="287" ht="13.5" customHeight="1">
      <c r="D287" s="7"/>
      <c r="E287" s="14" t="s">
        <v>37</v>
      </c>
      <c r="F287" s="46">
        <f>SUM(F286)</f>
        <v>80</v>
      </c>
    </row>
    <row r="288" ht="13.5" customHeight="1">
      <c r="D288" s="7"/>
      <c r="E288" s="9"/>
      <c r="F288" s="9"/>
    </row>
    <row r="289" ht="13.5" customHeight="1">
      <c r="A289" s="14" t="s">
        <v>74</v>
      </c>
      <c r="D289" s="7"/>
      <c r="E289" s="9"/>
      <c r="F289" s="9"/>
    </row>
    <row r="290" ht="13.5" customHeight="1">
      <c r="A290" s="18"/>
      <c r="B290" s="18" t="s">
        <v>17</v>
      </c>
      <c r="C290" s="18" t="s">
        <v>18</v>
      </c>
      <c r="D290" s="18" t="s">
        <v>19</v>
      </c>
      <c r="E290" s="18" t="s">
        <v>20</v>
      </c>
      <c r="F290" s="18" t="s">
        <v>21</v>
      </c>
    </row>
    <row r="291" ht="13.5" customHeight="1">
      <c r="D291" s="7"/>
      <c r="E291" s="14" t="s">
        <v>77</v>
      </c>
      <c r="F291" s="46">
        <f>F274+F282+F287</f>
        <v>10463</v>
      </c>
    </row>
    <row r="292" ht="13.5" customHeight="1">
      <c r="D292" s="7"/>
      <c r="E292" s="14" t="s">
        <v>6</v>
      </c>
      <c r="F292" s="46">
        <f>ROUND(F291*F266,0)</f>
        <v>1569</v>
      </c>
    </row>
    <row r="293" ht="13.5" customHeight="1">
      <c r="D293" s="7"/>
      <c r="E293" s="14" t="s">
        <v>8</v>
      </c>
      <c r="F293" s="46">
        <f>ROUND(F291*F267,0)</f>
        <v>2093</v>
      </c>
    </row>
    <row r="294" ht="13.5" customHeight="1">
      <c r="D294" s="7"/>
      <c r="E294" s="14" t="s">
        <v>81</v>
      </c>
      <c r="F294" s="46">
        <f>F291+F292+F293</f>
        <v>14125</v>
      </c>
    </row>
    <row r="295" ht="13.5" customHeight="1">
      <c r="D295" s="7"/>
      <c r="E295" s="14" t="s">
        <v>82</v>
      </c>
      <c r="F295" s="46">
        <f>ROUND(F294*F268,0)</f>
        <v>2684</v>
      </c>
    </row>
    <row r="296" ht="13.5" customHeight="1">
      <c r="D296" s="14" t="s">
        <v>254</v>
      </c>
      <c r="E296" s="18" t="s">
        <v>84</v>
      </c>
      <c r="F296" s="53">
        <f>F294+F295</f>
        <v>16809</v>
      </c>
    </row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>
      <c r="A309" s="3" t="s">
        <v>1</v>
      </c>
      <c r="B309" s="5">
        <v>20.0</v>
      </c>
      <c r="C309" s="3" t="s">
        <v>2</v>
      </c>
      <c r="D309" s="7"/>
      <c r="E309" s="3" t="s">
        <v>3</v>
      </c>
      <c r="F309" s="9"/>
    </row>
    <row r="310" ht="13.5" customHeight="1">
      <c r="A310" s="3" t="s">
        <v>4</v>
      </c>
      <c r="B310" s="5" t="s">
        <v>142</v>
      </c>
      <c r="D310" s="7"/>
      <c r="E310" s="3" t="s">
        <v>6</v>
      </c>
      <c r="F310" s="10">
        <v>0.15</v>
      </c>
    </row>
    <row r="311" ht="13.5" customHeight="1">
      <c r="D311" s="7"/>
      <c r="E311" s="3" t="s">
        <v>8</v>
      </c>
      <c r="F311" s="10">
        <v>0.2</v>
      </c>
    </row>
    <row r="312" ht="13.5" customHeight="1">
      <c r="B312" s="5" t="s">
        <v>256</v>
      </c>
      <c r="D312" s="7"/>
      <c r="E312" s="3" t="s">
        <v>10</v>
      </c>
      <c r="F312" s="10">
        <v>0.19</v>
      </c>
    </row>
    <row r="313" ht="13.5" customHeight="1">
      <c r="A313" s="14" t="s">
        <v>11</v>
      </c>
      <c r="D313" s="7"/>
      <c r="E313" s="9"/>
      <c r="F313" s="9"/>
    </row>
    <row r="314" ht="13.5" customHeight="1">
      <c r="A314" s="18" t="s">
        <v>15</v>
      </c>
      <c r="B314" s="18" t="s">
        <v>17</v>
      </c>
      <c r="C314" s="18" t="s">
        <v>18</v>
      </c>
      <c r="D314" s="18" t="s">
        <v>19</v>
      </c>
      <c r="E314" s="18" t="s">
        <v>20</v>
      </c>
      <c r="F314" s="18" t="s">
        <v>21</v>
      </c>
    </row>
    <row r="315" ht="13.5" customHeight="1">
      <c r="A315" s="21" t="s">
        <v>22</v>
      </c>
      <c r="B315" s="21" t="s">
        <v>258</v>
      </c>
      <c r="C315" s="21" t="s">
        <v>142</v>
      </c>
      <c r="D315" s="21">
        <v>1.0</v>
      </c>
      <c r="E315" s="21">
        <v>25000.0</v>
      </c>
      <c r="F315" s="33">
        <f t="shared" ref="F315:F317" si="20">ROUND(IFERROR(D315*E315,0),0)</f>
        <v>25000</v>
      </c>
    </row>
    <row r="316" ht="13.5" customHeight="1">
      <c r="A316" s="21" t="s">
        <v>27</v>
      </c>
      <c r="B316" s="21" t="s">
        <v>261</v>
      </c>
      <c r="C316" s="21" t="s">
        <v>30</v>
      </c>
      <c r="D316" s="21">
        <v>1.0</v>
      </c>
      <c r="E316" s="21">
        <v>800.0</v>
      </c>
      <c r="F316" s="33">
        <f t="shared" si="20"/>
        <v>800</v>
      </c>
    </row>
    <row r="317" ht="13.5" customHeight="1">
      <c r="A317" s="21" t="s">
        <v>32</v>
      </c>
      <c r="B317" s="21" t="s">
        <v>242</v>
      </c>
      <c r="C317" s="21" t="s">
        <v>96</v>
      </c>
      <c r="D317" s="21">
        <v>0.01</v>
      </c>
      <c r="E317" s="21">
        <v>4832.0</v>
      </c>
      <c r="F317" s="33">
        <f t="shared" si="20"/>
        <v>48</v>
      </c>
    </row>
    <row r="318" ht="13.5" customHeight="1">
      <c r="D318" s="7"/>
      <c r="E318" s="14" t="s">
        <v>37</v>
      </c>
      <c r="F318" s="46">
        <f>SUM(F315:F317)</f>
        <v>25848</v>
      </c>
    </row>
    <row r="319" ht="13.5" customHeight="1">
      <c r="D319" s="7"/>
      <c r="E319" s="9"/>
      <c r="F319" s="9"/>
    </row>
    <row r="320" ht="13.5" customHeight="1">
      <c r="A320" s="14" t="s">
        <v>44</v>
      </c>
      <c r="D320" s="7"/>
      <c r="E320" s="9"/>
      <c r="F320" s="9"/>
    </row>
    <row r="321" ht="13.5" customHeight="1">
      <c r="A321" s="18" t="s">
        <v>15</v>
      </c>
      <c r="B321" s="18" t="s">
        <v>17</v>
      </c>
      <c r="C321" s="18" t="s">
        <v>18</v>
      </c>
      <c r="D321" s="18" t="s">
        <v>19</v>
      </c>
      <c r="E321" s="18" t="s">
        <v>20</v>
      </c>
      <c r="F321" s="18" t="s">
        <v>21</v>
      </c>
    </row>
    <row r="322" ht="13.5" customHeight="1">
      <c r="A322" s="21" t="s">
        <v>22</v>
      </c>
      <c r="B322" s="21" t="s">
        <v>245</v>
      </c>
      <c r="C322" s="21" t="s">
        <v>51</v>
      </c>
      <c r="D322" s="21">
        <f>ROUND(0.25/B309,2)</f>
        <v>0.01</v>
      </c>
      <c r="E322" s="21">
        <v>65000.0</v>
      </c>
      <c r="F322" s="33">
        <f t="shared" ref="F322:F323" si="21">ROUND(IFERROR(D322*E322,0),0)</f>
        <v>650</v>
      </c>
    </row>
    <row r="323" ht="13.5" customHeight="1">
      <c r="A323" s="21" t="s">
        <v>27</v>
      </c>
      <c r="B323" s="21" t="s">
        <v>54</v>
      </c>
      <c r="C323" s="21" t="s">
        <v>51</v>
      </c>
      <c r="D323" s="21">
        <f>ROUND(0.25/B309,2)</f>
        <v>0.01</v>
      </c>
      <c r="E323" s="21">
        <v>50000.0</v>
      </c>
      <c r="F323" s="33">
        <f t="shared" si="21"/>
        <v>500</v>
      </c>
    </row>
    <row r="324" ht="13.5" customHeight="1">
      <c r="D324" s="7"/>
      <c r="E324" s="14" t="s">
        <v>37</v>
      </c>
      <c r="F324" s="46">
        <f>SUM(F322:F323)</f>
        <v>1150</v>
      </c>
    </row>
    <row r="325" ht="13.5" customHeight="1">
      <c r="D325" s="7"/>
      <c r="E325" s="14" t="s">
        <v>59</v>
      </c>
      <c r="F325" s="46">
        <f>ROUND(F324*0.5,0)</f>
        <v>575</v>
      </c>
    </row>
    <row r="326" ht="13.5" customHeight="1">
      <c r="D326" s="7"/>
      <c r="E326" s="14" t="s">
        <v>60</v>
      </c>
      <c r="F326" s="46">
        <f>F324+F325</f>
        <v>1725</v>
      </c>
    </row>
    <row r="327" ht="13.5" customHeight="1">
      <c r="D327" s="7"/>
      <c r="E327" s="9"/>
      <c r="F327" s="9"/>
    </row>
    <row r="328" ht="13.5" customHeight="1">
      <c r="A328" s="14" t="s">
        <v>62</v>
      </c>
      <c r="D328" s="7"/>
      <c r="E328" s="9"/>
      <c r="F328" s="9"/>
    </row>
    <row r="329" ht="13.5" customHeight="1">
      <c r="A329" s="18" t="s">
        <v>15</v>
      </c>
      <c r="B329" s="18" t="s">
        <v>17</v>
      </c>
      <c r="C329" s="18" t="s">
        <v>18</v>
      </c>
      <c r="D329" s="18" t="s">
        <v>19</v>
      </c>
      <c r="E329" s="18" t="s">
        <v>20</v>
      </c>
      <c r="F329" s="18" t="s">
        <v>21</v>
      </c>
    </row>
    <row r="330" ht="13.5" customHeight="1">
      <c r="A330" s="21" t="s">
        <v>22</v>
      </c>
      <c r="B330" s="21" t="s">
        <v>152</v>
      </c>
      <c r="C330" s="21" t="s">
        <v>51</v>
      </c>
      <c r="D330" s="21">
        <f>ROUND(0.2/B309,2)</f>
        <v>0.01</v>
      </c>
      <c r="E330" s="21">
        <v>3500.0</v>
      </c>
      <c r="F330" s="33">
        <f>ROUND(IFERROR(D330*E330,0),0)</f>
        <v>35</v>
      </c>
    </row>
    <row r="331" ht="13.5" customHeight="1">
      <c r="D331" s="7"/>
      <c r="E331" s="14" t="s">
        <v>37</v>
      </c>
      <c r="F331" s="46">
        <f>SUM(F330)</f>
        <v>35</v>
      </c>
    </row>
    <row r="332" ht="13.5" customHeight="1">
      <c r="D332" s="7"/>
      <c r="E332" s="9"/>
      <c r="F332" s="9"/>
    </row>
    <row r="333" ht="13.5" customHeight="1">
      <c r="A333" s="14" t="s">
        <v>74</v>
      </c>
      <c r="D333" s="7"/>
      <c r="E333" s="9"/>
      <c r="F333" s="9"/>
    </row>
    <row r="334" ht="13.5" customHeight="1">
      <c r="A334" s="18"/>
      <c r="B334" s="18" t="s">
        <v>17</v>
      </c>
      <c r="C334" s="18" t="s">
        <v>18</v>
      </c>
      <c r="D334" s="18" t="s">
        <v>19</v>
      </c>
      <c r="E334" s="18" t="s">
        <v>20</v>
      </c>
      <c r="F334" s="18" t="s">
        <v>21</v>
      </c>
    </row>
    <row r="335" ht="13.5" customHeight="1">
      <c r="D335" s="7"/>
      <c r="E335" s="14" t="s">
        <v>77</v>
      </c>
      <c r="F335" s="46">
        <f>F318+F326+F331</f>
        <v>27608</v>
      </c>
    </row>
    <row r="336" ht="13.5" customHeight="1">
      <c r="D336" s="7"/>
      <c r="E336" s="14" t="s">
        <v>6</v>
      </c>
      <c r="F336" s="46">
        <f>ROUND(F335*F310,0)</f>
        <v>4141</v>
      </c>
    </row>
    <row r="337" ht="13.5" customHeight="1">
      <c r="D337" s="7"/>
      <c r="E337" s="14" t="s">
        <v>8</v>
      </c>
      <c r="F337" s="46">
        <f>ROUND(F335*F311,0)</f>
        <v>5522</v>
      </c>
    </row>
    <row r="338" ht="13.5" customHeight="1">
      <c r="D338" s="7"/>
      <c r="E338" s="14" t="s">
        <v>81</v>
      </c>
      <c r="F338" s="46">
        <f>F335+F336+F337</f>
        <v>37271</v>
      </c>
    </row>
    <row r="339" ht="13.5" customHeight="1">
      <c r="D339" s="7"/>
      <c r="E339" s="14" t="s">
        <v>82</v>
      </c>
      <c r="F339" s="46">
        <f>ROUND(F338*F312,0)</f>
        <v>7081</v>
      </c>
    </row>
    <row r="340" ht="13.5" customHeight="1">
      <c r="D340" s="14" t="s">
        <v>254</v>
      </c>
      <c r="E340" s="18" t="s">
        <v>84</v>
      </c>
      <c r="F340" s="53">
        <f>F338+F339</f>
        <v>44352</v>
      </c>
    </row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>
      <c r="A353" s="3" t="s">
        <v>1</v>
      </c>
      <c r="B353" s="20">
        <v>50.0</v>
      </c>
      <c r="C353" s="3" t="s">
        <v>2</v>
      </c>
      <c r="D353" s="7"/>
      <c r="E353" s="3" t="s">
        <v>3</v>
      </c>
      <c r="F353" s="9"/>
    </row>
    <row r="354" ht="13.5" customHeight="1">
      <c r="A354" s="3" t="s">
        <v>4</v>
      </c>
      <c r="B354" s="20" t="s">
        <v>142</v>
      </c>
      <c r="C354" s="20"/>
      <c r="D354" s="7"/>
      <c r="E354" s="3" t="s">
        <v>6</v>
      </c>
      <c r="F354" s="10">
        <v>0.15</v>
      </c>
    </row>
    <row r="355" ht="13.5" customHeight="1">
      <c r="A355" s="20"/>
      <c r="B355" s="20"/>
      <c r="C355" s="20"/>
      <c r="D355" s="7"/>
      <c r="E355" s="3" t="s">
        <v>8</v>
      </c>
      <c r="F355" s="10">
        <v>0.2</v>
      </c>
    </row>
    <row r="356" ht="13.5" customHeight="1">
      <c r="A356" s="20"/>
      <c r="B356" s="20"/>
      <c r="C356" s="20"/>
      <c r="D356" s="7"/>
      <c r="E356" s="3" t="s">
        <v>10</v>
      </c>
      <c r="F356" s="10">
        <v>0.19</v>
      </c>
    </row>
    <row r="357" ht="13.5" customHeight="1">
      <c r="A357" s="14" t="s">
        <v>11</v>
      </c>
      <c r="B357" s="20"/>
      <c r="C357" s="20"/>
      <c r="D357" s="7"/>
      <c r="E357" s="9"/>
      <c r="F357" s="9"/>
    </row>
    <row r="358" ht="13.5" customHeight="1">
      <c r="A358" s="18" t="s">
        <v>15</v>
      </c>
      <c r="B358" s="18" t="s">
        <v>17</v>
      </c>
      <c r="C358" s="18" t="s">
        <v>18</v>
      </c>
      <c r="D358" s="18" t="s">
        <v>19</v>
      </c>
      <c r="E358" s="18" t="s">
        <v>20</v>
      </c>
      <c r="F358" s="18" t="s">
        <v>21</v>
      </c>
    </row>
    <row r="359" ht="13.5" customHeight="1">
      <c r="A359" s="21" t="s">
        <v>22</v>
      </c>
      <c r="B359" s="21" t="s">
        <v>280</v>
      </c>
      <c r="C359" s="21" t="s">
        <v>142</v>
      </c>
      <c r="D359" s="21">
        <v>1.0</v>
      </c>
      <c r="E359" s="21">
        <v>4500.0</v>
      </c>
      <c r="F359" s="33">
        <f t="shared" ref="F359:F361" si="22">ROUND(IFERROR(D359*E359,0),0)</f>
        <v>4500</v>
      </c>
    </row>
    <row r="360" ht="13.5" customHeight="1">
      <c r="A360" s="21" t="s">
        <v>27</v>
      </c>
      <c r="B360" s="21" t="s">
        <v>283</v>
      </c>
      <c r="C360" s="21" t="s">
        <v>30</v>
      </c>
      <c r="D360" s="21">
        <v>1.0</v>
      </c>
      <c r="E360" s="21">
        <v>60.0</v>
      </c>
      <c r="F360" s="33">
        <f t="shared" si="22"/>
        <v>60</v>
      </c>
    </row>
    <row r="361" ht="13.5" customHeight="1">
      <c r="A361" s="21" t="s">
        <v>32</v>
      </c>
      <c r="B361" s="21" t="s">
        <v>242</v>
      </c>
      <c r="C361" s="21" t="s">
        <v>96</v>
      </c>
      <c r="D361" s="21">
        <f>+ROUND(0.005,2)</f>
        <v>0.01</v>
      </c>
      <c r="E361" s="21">
        <v>4832.0</v>
      </c>
      <c r="F361" s="33">
        <f t="shared" si="22"/>
        <v>48</v>
      </c>
    </row>
    <row r="362" ht="13.5" customHeight="1">
      <c r="A362" s="20"/>
      <c r="B362" s="20"/>
      <c r="C362" s="20"/>
      <c r="D362" s="7"/>
      <c r="E362" s="14" t="s">
        <v>37</v>
      </c>
      <c r="F362" s="46">
        <f>SUM(F359:F361)</f>
        <v>4608</v>
      </c>
    </row>
    <row r="363" ht="13.5" customHeight="1">
      <c r="A363" s="20"/>
      <c r="B363" s="20"/>
      <c r="C363" s="20"/>
      <c r="D363" s="7"/>
      <c r="E363" s="9"/>
      <c r="F363" s="9"/>
    </row>
    <row r="364" ht="13.5" customHeight="1">
      <c r="A364" s="14" t="s">
        <v>44</v>
      </c>
      <c r="B364" s="20"/>
      <c r="C364" s="20"/>
      <c r="D364" s="7"/>
      <c r="E364" s="9"/>
      <c r="F364" s="9"/>
    </row>
    <row r="365" ht="13.5" customHeight="1">
      <c r="A365" s="18" t="s">
        <v>15</v>
      </c>
      <c r="B365" s="18" t="s">
        <v>17</v>
      </c>
      <c r="C365" s="18" t="s">
        <v>18</v>
      </c>
      <c r="D365" s="18" t="s">
        <v>19</v>
      </c>
      <c r="E365" s="18" t="s">
        <v>20</v>
      </c>
      <c r="F365" s="18" t="s">
        <v>21</v>
      </c>
    </row>
    <row r="366" ht="13.5" customHeight="1">
      <c r="A366" s="21" t="s">
        <v>22</v>
      </c>
      <c r="B366" s="21" t="s">
        <v>245</v>
      </c>
      <c r="C366" s="21" t="s">
        <v>51</v>
      </c>
      <c r="D366" s="21">
        <f>ROUND(0.25/B353,2)</f>
        <v>0.01</v>
      </c>
      <c r="E366" s="21">
        <v>65000.0</v>
      </c>
      <c r="F366" s="33">
        <f t="shared" ref="F366:F367" si="23">ROUND(IFERROR(D366*E366,0),0)</f>
        <v>650</v>
      </c>
    </row>
    <row r="367" ht="13.5" customHeight="1">
      <c r="A367" s="21" t="s">
        <v>27</v>
      </c>
      <c r="B367" s="21" t="s">
        <v>54</v>
      </c>
      <c r="C367" s="21" t="s">
        <v>51</v>
      </c>
      <c r="D367" s="21">
        <f>ROUND(0.25/B353,2)</f>
        <v>0.01</v>
      </c>
      <c r="E367" s="21">
        <v>50000.0</v>
      </c>
      <c r="F367" s="33">
        <f t="shared" si="23"/>
        <v>500</v>
      </c>
    </row>
    <row r="368" ht="13.5" customHeight="1">
      <c r="A368" s="20"/>
      <c r="B368" s="20"/>
      <c r="C368" s="20"/>
      <c r="D368" s="7"/>
      <c r="E368" s="14" t="s">
        <v>37</v>
      </c>
      <c r="F368" s="46">
        <f>SUM(F366:F367)</f>
        <v>1150</v>
      </c>
    </row>
    <row r="369" ht="13.5" customHeight="1">
      <c r="A369" s="20"/>
      <c r="B369" s="20"/>
      <c r="C369" s="20"/>
      <c r="D369" s="7"/>
      <c r="E369" s="14" t="s">
        <v>59</v>
      </c>
      <c r="F369" s="46">
        <f>ROUND(F368*0.5,0)</f>
        <v>575</v>
      </c>
    </row>
    <row r="370" ht="13.5" customHeight="1">
      <c r="A370" s="20"/>
      <c r="B370" s="20"/>
      <c r="C370" s="20"/>
      <c r="D370" s="7"/>
      <c r="E370" s="14" t="s">
        <v>60</v>
      </c>
      <c r="F370" s="46">
        <f>F368+F369</f>
        <v>1725</v>
      </c>
    </row>
    <row r="371" ht="13.5" customHeight="1">
      <c r="A371" s="20"/>
      <c r="B371" s="20"/>
      <c r="C371" s="20"/>
      <c r="D371" s="7"/>
      <c r="E371" s="9"/>
      <c r="F371" s="9"/>
    </row>
    <row r="372" ht="13.5" customHeight="1">
      <c r="A372" s="14" t="s">
        <v>62</v>
      </c>
      <c r="B372" s="20"/>
      <c r="C372" s="20"/>
      <c r="D372" s="7"/>
      <c r="E372" s="9"/>
      <c r="F372" s="9"/>
    </row>
    <row r="373" ht="13.5" customHeight="1">
      <c r="A373" s="18" t="s">
        <v>15</v>
      </c>
      <c r="B373" s="18" t="s">
        <v>17</v>
      </c>
      <c r="C373" s="18" t="s">
        <v>18</v>
      </c>
      <c r="D373" s="18" t="s">
        <v>19</v>
      </c>
      <c r="E373" s="18" t="s">
        <v>20</v>
      </c>
      <c r="F373" s="18" t="s">
        <v>21</v>
      </c>
    </row>
    <row r="374" ht="13.5" customHeight="1">
      <c r="A374" s="21" t="s">
        <v>22</v>
      </c>
      <c r="B374" s="21" t="s">
        <v>152</v>
      </c>
      <c r="C374" s="21" t="s">
        <v>51</v>
      </c>
      <c r="D374" s="21">
        <f>ROUND(0.25/B353,2)</f>
        <v>0.01</v>
      </c>
      <c r="E374" s="21">
        <v>3500.0</v>
      </c>
      <c r="F374" s="33">
        <f>ROUND(IFERROR(D374*E374,0),0)</f>
        <v>35</v>
      </c>
    </row>
    <row r="375" ht="13.5" customHeight="1">
      <c r="A375" s="20"/>
      <c r="B375" s="20"/>
      <c r="C375" s="20"/>
      <c r="D375" s="7"/>
      <c r="E375" s="14" t="s">
        <v>37</v>
      </c>
      <c r="F375" s="46">
        <f>SUM(F374)</f>
        <v>35</v>
      </c>
    </row>
    <row r="376" ht="13.5" customHeight="1">
      <c r="A376" s="20"/>
      <c r="B376" s="20"/>
      <c r="C376" s="20"/>
      <c r="D376" s="7"/>
      <c r="E376" s="9"/>
      <c r="F376" s="9"/>
    </row>
    <row r="377" ht="13.5" customHeight="1">
      <c r="A377" s="14" t="s">
        <v>74</v>
      </c>
      <c r="B377" s="20"/>
      <c r="C377" s="20"/>
      <c r="D377" s="7"/>
      <c r="E377" s="9"/>
      <c r="F377" s="9"/>
    </row>
    <row r="378" ht="13.5" customHeight="1">
      <c r="A378" s="18"/>
      <c r="B378" s="18" t="s">
        <v>17</v>
      </c>
      <c r="C378" s="18" t="s">
        <v>18</v>
      </c>
      <c r="D378" s="18" t="s">
        <v>19</v>
      </c>
      <c r="E378" s="18" t="s">
        <v>20</v>
      </c>
      <c r="F378" s="18" t="s">
        <v>21</v>
      </c>
    </row>
    <row r="379" ht="13.5" customHeight="1">
      <c r="A379" s="20"/>
      <c r="B379" s="20"/>
      <c r="C379" s="20"/>
      <c r="D379" s="7"/>
      <c r="E379" s="14" t="s">
        <v>77</v>
      </c>
      <c r="F379" s="46">
        <f>F362+F370+F375</f>
        <v>6368</v>
      </c>
    </row>
    <row r="380" ht="13.5" customHeight="1">
      <c r="A380" s="20"/>
      <c r="B380" s="20"/>
      <c r="C380" s="20"/>
      <c r="D380" s="7"/>
      <c r="E380" s="14" t="s">
        <v>6</v>
      </c>
      <c r="F380" s="46">
        <f>ROUND(F379*F354,0)</f>
        <v>955</v>
      </c>
    </row>
    <row r="381" ht="13.5" customHeight="1">
      <c r="A381" s="20"/>
      <c r="B381" s="20"/>
      <c r="C381" s="20"/>
      <c r="D381" s="7"/>
      <c r="E381" s="14" t="s">
        <v>8</v>
      </c>
      <c r="F381" s="46">
        <f>ROUND(F379*F355,0)</f>
        <v>1274</v>
      </c>
    </row>
    <row r="382" ht="13.5" customHeight="1">
      <c r="A382" s="20"/>
      <c r="B382" s="20"/>
      <c r="C382" s="20"/>
      <c r="D382" s="7"/>
      <c r="E382" s="14" t="s">
        <v>81</v>
      </c>
      <c r="F382" s="46">
        <f>F379+F380+F381</f>
        <v>8597</v>
      </c>
    </row>
    <row r="383" ht="13.5" customHeight="1">
      <c r="A383" s="20"/>
      <c r="B383" s="20"/>
      <c r="C383" s="20"/>
      <c r="D383" s="7"/>
      <c r="E383" s="14" t="s">
        <v>82</v>
      </c>
      <c r="F383" s="46">
        <f>ROUND(F382*F356,0)</f>
        <v>1633</v>
      </c>
    </row>
    <row r="384" ht="13.5" customHeight="1">
      <c r="A384" s="20"/>
      <c r="B384" s="20"/>
      <c r="C384" s="20"/>
      <c r="D384" s="14" t="s">
        <v>254</v>
      </c>
      <c r="E384" s="18" t="s">
        <v>84</v>
      </c>
      <c r="F384" s="53">
        <f>F382+F383</f>
        <v>10230</v>
      </c>
    </row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>
      <c r="A397" s="3" t="s">
        <v>1</v>
      </c>
      <c r="B397" s="5">
        <v>18.0</v>
      </c>
      <c r="C397" s="3" t="s">
        <v>2</v>
      </c>
      <c r="D397" s="7"/>
      <c r="E397" s="3" t="s">
        <v>3</v>
      </c>
      <c r="F397" s="9"/>
    </row>
    <row r="398" ht="13.5" customHeight="1">
      <c r="A398" s="3" t="s">
        <v>4</v>
      </c>
      <c r="B398" s="5" t="s">
        <v>5</v>
      </c>
      <c r="D398" s="7"/>
      <c r="E398" s="3" t="s">
        <v>6</v>
      </c>
      <c r="F398" s="10">
        <v>0.15</v>
      </c>
    </row>
    <row r="399" ht="13.5" customHeight="1">
      <c r="D399" s="7"/>
      <c r="E399" s="3" t="s">
        <v>8</v>
      </c>
      <c r="F399" s="10">
        <v>0.2</v>
      </c>
    </row>
    <row r="400" ht="13.5" customHeight="1">
      <c r="B400" s="5" t="s">
        <v>311</v>
      </c>
      <c r="D400" s="7"/>
      <c r="E400" s="3" t="s">
        <v>10</v>
      </c>
      <c r="F400" s="10">
        <v>0.19</v>
      </c>
    </row>
    <row r="401" ht="13.5" customHeight="1">
      <c r="A401" s="14" t="s">
        <v>11</v>
      </c>
      <c r="D401" s="7"/>
      <c r="E401" s="9"/>
      <c r="F401" s="9"/>
    </row>
    <row r="402" ht="13.5" customHeight="1">
      <c r="A402" s="18" t="s">
        <v>15</v>
      </c>
      <c r="B402" s="18" t="s">
        <v>17</v>
      </c>
      <c r="C402" s="18" t="s">
        <v>18</v>
      </c>
      <c r="D402" s="18" t="s">
        <v>19</v>
      </c>
      <c r="E402" s="18" t="s">
        <v>20</v>
      </c>
      <c r="F402" s="18" t="s">
        <v>21</v>
      </c>
    </row>
    <row r="403" ht="13.5" customHeight="1">
      <c r="A403" s="21" t="s">
        <v>22</v>
      </c>
      <c r="B403" s="21" t="s">
        <v>313</v>
      </c>
      <c r="C403" s="21" t="s">
        <v>5</v>
      </c>
      <c r="D403" s="21">
        <v>1.05</v>
      </c>
      <c r="E403" s="21">
        <v>6769.0</v>
      </c>
      <c r="F403" s="33">
        <f t="shared" ref="F403:F406" si="24">ROUND(IFERROR(D403*E403,0),0)</f>
        <v>7107</v>
      </c>
    </row>
    <row r="404" ht="13.5" customHeight="1">
      <c r="A404" s="21" t="s">
        <v>27</v>
      </c>
      <c r="B404" s="21" t="s">
        <v>315</v>
      </c>
      <c r="C404" s="21" t="s">
        <v>30</v>
      </c>
      <c r="D404" s="21">
        <v>10.0</v>
      </c>
      <c r="E404" s="21">
        <v>60.0</v>
      </c>
      <c r="F404" s="33">
        <f t="shared" si="24"/>
        <v>600</v>
      </c>
    </row>
    <row r="405" ht="13.5" customHeight="1">
      <c r="A405" s="21" t="s">
        <v>32</v>
      </c>
      <c r="B405" s="21" t="s">
        <v>316</v>
      </c>
      <c r="C405" s="21" t="s">
        <v>318</v>
      </c>
      <c r="D405" s="21">
        <v>0.12</v>
      </c>
      <c r="E405" s="21">
        <v>8891.0</v>
      </c>
      <c r="F405" s="33">
        <f t="shared" si="24"/>
        <v>1067</v>
      </c>
    </row>
    <row r="406" ht="13.5" customHeight="1">
      <c r="A406" s="21" t="s">
        <v>99</v>
      </c>
      <c r="B406" s="21" t="s">
        <v>242</v>
      </c>
      <c r="C406" s="21" t="s">
        <v>96</v>
      </c>
      <c r="D406" s="21">
        <v>0.01</v>
      </c>
      <c r="E406" s="21">
        <v>4832.0</v>
      </c>
      <c r="F406" s="33">
        <f t="shared" si="24"/>
        <v>48</v>
      </c>
    </row>
    <row r="407" ht="13.5" customHeight="1">
      <c r="D407" s="7"/>
      <c r="E407" s="14" t="s">
        <v>37</v>
      </c>
      <c r="F407" s="46">
        <f>SUM(F403:F406)</f>
        <v>8822</v>
      </c>
    </row>
    <row r="408" ht="13.5" customHeight="1">
      <c r="D408" s="7"/>
      <c r="E408" s="9"/>
      <c r="F408" s="9"/>
    </row>
    <row r="409" ht="13.5" customHeight="1">
      <c r="A409" s="14" t="s">
        <v>44</v>
      </c>
      <c r="D409" s="7"/>
      <c r="E409" s="9"/>
      <c r="F409" s="9"/>
    </row>
    <row r="410" ht="13.5" customHeight="1">
      <c r="A410" s="18" t="s">
        <v>15</v>
      </c>
      <c r="B410" s="18" t="s">
        <v>17</v>
      </c>
      <c r="C410" s="18" t="s">
        <v>18</v>
      </c>
      <c r="D410" s="18" t="s">
        <v>19</v>
      </c>
      <c r="E410" s="18" t="s">
        <v>20</v>
      </c>
      <c r="F410" s="18" t="s">
        <v>21</v>
      </c>
    </row>
    <row r="411" ht="13.5" customHeight="1">
      <c r="A411" s="21" t="s">
        <v>22</v>
      </c>
      <c r="B411" s="21" t="s">
        <v>321</v>
      </c>
      <c r="C411" s="21" t="s">
        <v>51</v>
      </c>
      <c r="D411" s="187">
        <f>ROUND(1/B397,2)</f>
        <v>0.06</v>
      </c>
      <c r="E411" s="21">
        <v>65000.0</v>
      </c>
      <c r="F411" s="33">
        <f>ROUND(IFERROR(D411*E411,0),0)</f>
        <v>3900</v>
      </c>
    </row>
    <row r="412" ht="13.5" customHeight="1">
      <c r="A412" s="21" t="s">
        <v>27</v>
      </c>
      <c r="B412" s="21" t="s">
        <v>54</v>
      </c>
      <c r="C412" s="21" t="s">
        <v>51</v>
      </c>
      <c r="D412" s="187">
        <f>ROUND(0.5/B397,2)</f>
        <v>0.03</v>
      </c>
      <c r="E412" s="21">
        <v>50000.0</v>
      </c>
      <c r="F412" s="33">
        <f>IFERROR(D412*E412,0)</f>
        <v>1500</v>
      </c>
    </row>
    <row r="413" ht="13.5" customHeight="1">
      <c r="D413" s="7"/>
      <c r="E413" s="14" t="s">
        <v>37</v>
      </c>
      <c r="F413" s="46">
        <f>SUM(F411:F412)</f>
        <v>5400</v>
      </c>
    </row>
    <row r="414" ht="13.5" customHeight="1">
      <c r="D414" s="7"/>
      <c r="E414" s="14" t="s">
        <v>59</v>
      </c>
      <c r="F414" s="46">
        <f>ROUND(F413*0.5,0)</f>
        <v>2700</v>
      </c>
    </row>
    <row r="415" ht="13.5" customHeight="1">
      <c r="D415" s="7"/>
      <c r="E415" s="14" t="s">
        <v>60</v>
      </c>
      <c r="F415" s="46">
        <f>F413+F414</f>
        <v>8100</v>
      </c>
    </row>
    <row r="416" ht="13.5" customHeight="1">
      <c r="D416" s="7"/>
      <c r="E416" s="9"/>
      <c r="F416" s="9"/>
    </row>
    <row r="417" ht="13.5" customHeight="1">
      <c r="A417" s="14" t="s">
        <v>62</v>
      </c>
      <c r="D417" s="7"/>
      <c r="E417" s="9"/>
      <c r="F417" s="9"/>
    </row>
    <row r="418" ht="13.5" customHeight="1">
      <c r="A418" s="18" t="s">
        <v>15</v>
      </c>
      <c r="B418" s="18" t="s">
        <v>17</v>
      </c>
      <c r="C418" s="18" t="s">
        <v>18</v>
      </c>
      <c r="D418" s="18" t="s">
        <v>19</v>
      </c>
      <c r="E418" s="18" t="s">
        <v>20</v>
      </c>
      <c r="F418" s="18" t="s">
        <v>21</v>
      </c>
    </row>
    <row r="419" ht="13.5" customHeight="1">
      <c r="A419" s="21" t="s">
        <v>22</v>
      </c>
      <c r="B419" s="21" t="s">
        <v>224</v>
      </c>
      <c r="C419" s="21" t="s">
        <v>51</v>
      </c>
      <c r="D419" s="144">
        <f>ROUND(0.15/B397,2)</f>
        <v>0.01</v>
      </c>
      <c r="E419" s="21">
        <v>8000.0</v>
      </c>
      <c r="F419" s="33">
        <f t="shared" ref="F419:F420" si="25">ROUND(IFERROR(D419*E419,0),0)</f>
        <v>80</v>
      </c>
    </row>
    <row r="420" ht="13.5" customHeight="1">
      <c r="A420" s="21" t="s">
        <v>27</v>
      </c>
      <c r="B420" s="21" t="s">
        <v>152</v>
      </c>
      <c r="C420" s="21" t="s">
        <v>51</v>
      </c>
      <c r="D420" s="144">
        <f>ROUND(0.15/B397,2)</f>
        <v>0.01</v>
      </c>
      <c r="E420" s="21">
        <v>3500.0</v>
      </c>
      <c r="F420" s="33">
        <f t="shared" si="25"/>
        <v>35</v>
      </c>
    </row>
    <row r="421" ht="13.5" customHeight="1">
      <c r="D421" s="7"/>
      <c r="E421" s="14" t="s">
        <v>37</v>
      </c>
      <c r="F421" s="46">
        <f>SUM(F419:F420)</f>
        <v>115</v>
      </c>
    </row>
    <row r="422" ht="13.5" customHeight="1">
      <c r="D422" s="7"/>
      <c r="E422" s="9"/>
      <c r="F422" s="9"/>
    </row>
    <row r="423" ht="13.5" customHeight="1">
      <c r="A423" s="14" t="s">
        <v>74</v>
      </c>
      <c r="D423" s="7"/>
      <c r="E423" s="9"/>
      <c r="F423" s="9"/>
    </row>
    <row r="424" ht="13.5" customHeight="1">
      <c r="A424" s="18"/>
      <c r="B424" s="18" t="s">
        <v>17</v>
      </c>
      <c r="C424" s="18" t="s">
        <v>18</v>
      </c>
      <c r="D424" s="18" t="s">
        <v>19</v>
      </c>
      <c r="E424" s="18" t="s">
        <v>20</v>
      </c>
      <c r="F424" s="18" t="s">
        <v>21</v>
      </c>
    </row>
    <row r="425" ht="13.5" customHeight="1">
      <c r="D425" s="7"/>
      <c r="E425" s="14" t="s">
        <v>77</v>
      </c>
      <c r="F425" s="46">
        <f>F407+F415+F421</f>
        <v>17037</v>
      </c>
    </row>
    <row r="426" ht="13.5" customHeight="1">
      <c r="D426" s="7"/>
      <c r="E426" s="14" t="s">
        <v>6</v>
      </c>
      <c r="F426" s="46">
        <f>ROUND(F425*F398,0)</f>
        <v>2556</v>
      </c>
    </row>
    <row r="427" ht="13.5" customHeight="1">
      <c r="D427" s="7"/>
      <c r="E427" s="14" t="s">
        <v>8</v>
      </c>
      <c r="F427" s="46">
        <f>ROUND(F425*F399,0)</f>
        <v>3407</v>
      </c>
    </row>
    <row r="428" ht="13.5" customHeight="1">
      <c r="D428" s="7"/>
      <c r="E428" s="14" t="s">
        <v>81</v>
      </c>
      <c r="F428" s="46">
        <f>F425+F426+F427</f>
        <v>23000</v>
      </c>
    </row>
    <row r="429" ht="13.5" customHeight="1">
      <c r="D429" s="7"/>
      <c r="E429" s="14" t="s">
        <v>82</v>
      </c>
      <c r="F429" s="46">
        <f>ROUND(F428*F400,0)</f>
        <v>4370</v>
      </c>
    </row>
    <row r="430" ht="13.5" customHeight="1">
      <c r="D430" s="14" t="s">
        <v>83</v>
      </c>
      <c r="E430" s="18" t="s">
        <v>84</v>
      </c>
      <c r="F430" s="53">
        <f>F428+F429</f>
        <v>27370</v>
      </c>
    </row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>
      <c r="A441" s="3" t="s">
        <v>1</v>
      </c>
      <c r="B441" s="5">
        <v>70.0</v>
      </c>
      <c r="C441" s="3" t="s">
        <v>2</v>
      </c>
      <c r="D441" s="7"/>
      <c r="E441" s="3" t="s">
        <v>3</v>
      </c>
      <c r="F441" s="9"/>
    </row>
    <row r="442" ht="13.5" customHeight="1">
      <c r="A442" s="3" t="s">
        <v>4</v>
      </c>
      <c r="B442" s="5" t="s">
        <v>5</v>
      </c>
      <c r="D442" s="7"/>
      <c r="E442" s="3" t="s">
        <v>6</v>
      </c>
      <c r="F442" s="10">
        <v>0.15</v>
      </c>
    </row>
    <row r="443" ht="13.5" customHeight="1">
      <c r="D443" s="7"/>
      <c r="E443" s="3" t="s">
        <v>8</v>
      </c>
      <c r="F443" s="10">
        <v>0.2</v>
      </c>
    </row>
    <row r="444" ht="13.5" customHeight="1">
      <c r="B444" s="5" t="s">
        <v>333</v>
      </c>
      <c r="D444" s="7"/>
      <c r="E444" s="3" t="s">
        <v>10</v>
      </c>
      <c r="F444" s="10">
        <v>0.19</v>
      </c>
    </row>
    <row r="445" ht="13.5" customHeight="1">
      <c r="A445" s="14" t="s">
        <v>11</v>
      </c>
      <c r="D445" s="7"/>
      <c r="E445" s="9"/>
      <c r="F445" s="9"/>
    </row>
    <row r="446" ht="13.5" customHeight="1">
      <c r="A446" s="18" t="s">
        <v>15</v>
      </c>
      <c r="B446" s="18" t="s">
        <v>17</v>
      </c>
      <c r="C446" s="18" t="s">
        <v>18</v>
      </c>
      <c r="D446" s="18" t="s">
        <v>19</v>
      </c>
      <c r="E446" s="18" t="s">
        <v>20</v>
      </c>
      <c r="F446" s="18" t="s">
        <v>21</v>
      </c>
    </row>
    <row r="447" ht="13.5" customHeight="1">
      <c r="A447" s="21" t="s">
        <v>22</v>
      </c>
      <c r="B447" s="21" t="s">
        <v>336</v>
      </c>
      <c r="C447" s="21" t="s">
        <v>30</v>
      </c>
      <c r="D447" s="21">
        <v>0.2</v>
      </c>
      <c r="E447" s="21">
        <v>800.0</v>
      </c>
      <c r="F447" s="33">
        <f t="shared" ref="F447:F449" si="26">ROUND(IFERROR(D447*E447,0),0)</f>
        <v>160</v>
      </c>
    </row>
    <row r="448" ht="13.5" customHeight="1">
      <c r="A448" s="21" t="s">
        <v>27</v>
      </c>
      <c r="B448" s="21" t="s">
        <v>337</v>
      </c>
      <c r="C448" s="21" t="s">
        <v>125</v>
      </c>
      <c r="D448" s="21">
        <v>0.1</v>
      </c>
      <c r="E448" s="21">
        <v>1600.0</v>
      </c>
      <c r="F448" s="33">
        <f t="shared" si="26"/>
        <v>160</v>
      </c>
    </row>
    <row r="449" ht="13.5" customHeight="1">
      <c r="A449" s="21" t="s">
        <v>32</v>
      </c>
      <c r="B449" s="21" t="s">
        <v>340</v>
      </c>
      <c r="C449" s="21" t="s">
        <v>34</v>
      </c>
      <c r="D449" s="21">
        <v>1.0</v>
      </c>
      <c r="E449" s="21">
        <v>1000.0</v>
      </c>
      <c r="F449" s="33">
        <f t="shared" si="26"/>
        <v>1000</v>
      </c>
    </row>
    <row r="450" ht="13.5" customHeight="1">
      <c r="A450" s="21" t="s">
        <v>99</v>
      </c>
      <c r="B450" s="21"/>
      <c r="C450" s="21"/>
      <c r="D450" s="21"/>
      <c r="E450" s="21"/>
      <c r="F450" s="33"/>
    </row>
    <row r="451" ht="13.5" customHeight="1">
      <c r="D451" s="7"/>
      <c r="E451" s="14" t="s">
        <v>37</v>
      </c>
      <c r="F451" s="46">
        <f>SUM(F447:F450)</f>
        <v>1320</v>
      </c>
    </row>
    <row r="452" ht="13.5" customHeight="1">
      <c r="D452" s="7"/>
      <c r="E452" s="9"/>
      <c r="F452" s="9"/>
    </row>
    <row r="453" ht="13.5" customHeight="1">
      <c r="A453" s="14" t="s">
        <v>44</v>
      </c>
      <c r="D453" s="7"/>
      <c r="E453" s="9"/>
      <c r="F453" s="9"/>
    </row>
    <row r="454" ht="13.5" customHeight="1">
      <c r="A454" s="18" t="s">
        <v>15</v>
      </c>
      <c r="B454" s="18" t="s">
        <v>17</v>
      </c>
      <c r="C454" s="18" t="s">
        <v>18</v>
      </c>
      <c r="D454" s="18" t="s">
        <v>19</v>
      </c>
      <c r="E454" s="18" t="s">
        <v>20</v>
      </c>
      <c r="F454" s="18" t="s">
        <v>21</v>
      </c>
    </row>
    <row r="455" ht="13.5" customHeight="1">
      <c r="A455" s="21" t="s">
        <v>22</v>
      </c>
      <c r="B455" s="21" t="s">
        <v>345</v>
      </c>
      <c r="C455" s="21" t="s">
        <v>51</v>
      </c>
      <c r="D455" s="187">
        <f>ROUND(1/B441,2)</f>
        <v>0.01</v>
      </c>
      <c r="E455" s="21">
        <v>65000.0</v>
      </c>
      <c r="F455" s="33">
        <f t="shared" ref="F455:F456" si="27">ROUND(IFERROR(D455*E455,0),0)</f>
        <v>650</v>
      </c>
    </row>
    <row r="456" ht="13.5" customHeight="1">
      <c r="A456" s="21" t="s">
        <v>27</v>
      </c>
      <c r="B456" s="21" t="s">
        <v>54</v>
      </c>
      <c r="C456" s="21" t="s">
        <v>51</v>
      </c>
      <c r="D456" s="187">
        <f>ROUND(1/B441,2)</f>
        <v>0.01</v>
      </c>
      <c r="E456" s="21">
        <v>50000.0</v>
      </c>
      <c r="F456" s="33">
        <f t="shared" si="27"/>
        <v>500</v>
      </c>
    </row>
    <row r="457" ht="13.5" customHeight="1">
      <c r="D457" s="7"/>
      <c r="E457" s="14" t="s">
        <v>37</v>
      </c>
      <c r="F457" s="46">
        <f>SUM(F455:F456)</f>
        <v>1150</v>
      </c>
    </row>
    <row r="458" ht="13.5" customHeight="1">
      <c r="D458" s="7"/>
      <c r="E458" s="14" t="s">
        <v>59</v>
      </c>
      <c r="F458" s="46">
        <f>ROUND(F457*0.5,0)</f>
        <v>575</v>
      </c>
    </row>
    <row r="459" ht="13.5" customHeight="1">
      <c r="D459" s="7"/>
      <c r="E459" s="14" t="s">
        <v>60</v>
      </c>
      <c r="F459" s="46">
        <f>F457+F458</f>
        <v>1725</v>
      </c>
    </row>
    <row r="460" ht="13.5" customHeight="1">
      <c r="D460" s="7"/>
      <c r="E460" s="9"/>
      <c r="F460" s="9"/>
    </row>
    <row r="461" ht="13.5" customHeight="1">
      <c r="A461" s="14" t="s">
        <v>62</v>
      </c>
      <c r="D461" s="7"/>
      <c r="E461" s="9"/>
      <c r="F461" s="9"/>
    </row>
    <row r="462" ht="13.5" customHeight="1">
      <c r="A462" s="18" t="s">
        <v>15</v>
      </c>
      <c r="B462" s="18" t="s">
        <v>17</v>
      </c>
      <c r="C462" s="18" t="s">
        <v>18</v>
      </c>
      <c r="D462" s="18" t="s">
        <v>19</v>
      </c>
      <c r="E462" s="18" t="s">
        <v>20</v>
      </c>
      <c r="F462" s="18" t="s">
        <v>21</v>
      </c>
    </row>
    <row r="463" ht="13.5" customHeight="1">
      <c r="A463" s="21" t="s">
        <v>22</v>
      </c>
      <c r="B463" s="21" t="s">
        <v>352</v>
      </c>
      <c r="C463" s="21" t="s">
        <v>51</v>
      </c>
      <c r="D463" s="144">
        <f>ROUND(0.45/B441,2)</f>
        <v>0.01</v>
      </c>
      <c r="E463" s="21">
        <v>15000.0</v>
      </c>
      <c r="F463" s="33">
        <f t="shared" ref="F463:F464" si="28">ROUND(IFERROR(D463*E463,0),0)</f>
        <v>150</v>
      </c>
    </row>
    <row r="464" ht="13.5" customHeight="1">
      <c r="A464" s="21" t="s">
        <v>27</v>
      </c>
      <c r="B464" s="21" t="s">
        <v>69</v>
      </c>
      <c r="C464" s="21" t="s">
        <v>51</v>
      </c>
      <c r="D464" s="144">
        <f>ROUND(0.45/B441,2)</f>
        <v>0.01</v>
      </c>
      <c r="E464" s="21">
        <v>80000.0</v>
      </c>
      <c r="F464" s="33">
        <f t="shared" si="28"/>
        <v>800</v>
      </c>
    </row>
    <row r="465" ht="13.5" customHeight="1">
      <c r="D465" s="7"/>
      <c r="E465" s="14" t="s">
        <v>37</v>
      </c>
      <c r="F465" s="46">
        <f>SUM(F463:F464)</f>
        <v>950</v>
      </c>
    </row>
    <row r="466" ht="13.5" customHeight="1">
      <c r="D466" s="7"/>
      <c r="E466" s="9"/>
      <c r="F466" s="9"/>
    </row>
    <row r="467" ht="13.5" customHeight="1">
      <c r="A467" s="14" t="s">
        <v>74</v>
      </c>
      <c r="D467" s="7"/>
      <c r="E467" s="9"/>
      <c r="F467" s="9"/>
    </row>
    <row r="468" ht="13.5" customHeight="1">
      <c r="A468" s="18"/>
      <c r="B468" s="18" t="s">
        <v>17</v>
      </c>
      <c r="C468" s="18" t="s">
        <v>18</v>
      </c>
      <c r="D468" s="18" t="s">
        <v>19</v>
      </c>
      <c r="E468" s="18" t="s">
        <v>20</v>
      </c>
      <c r="F468" s="18" t="s">
        <v>21</v>
      </c>
    </row>
    <row r="469" ht="13.5" customHeight="1">
      <c r="D469" s="7"/>
      <c r="E469" s="14" t="s">
        <v>77</v>
      </c>
      <c r="F469" s="46">
        <f>F451+F459+F465</f>
        <v>3995</v>
      </c>
    </row>
    <row r="470" ht="13.5" customHeight="1">
      <c r="D470" s="7"/>
      <c r="E470" s="14" t="s">
        <v>6</v>
      </c>
      <c r="F470" s="46">
        <f>ROUND(F469*F442,0)</f>
        <v>599</v>
      </c>
    </row>
    <row r="471" ht="13.5" customHeight="1">
      <c r="D471" s="7"/>
      <c r="E471" s="14" t="s">
        <v>8</v>
      </c>
      <c r="F471" s="46">
        <f>ROUND(F469*F443,0)</f>
        <v>799</v>
      </c>
    </row>
    <row r="472" ht="13.5" customHeight="1">
      <c r="D472" s="7"/>
      <c r="E472" s="14" t="s">
        <v>81</v>
      </c>
      <c r="F472" s="46">
        <f>F469+F470+F471</f>
        <v>5393</v>
      </c>
    </row>
    <row r="473" ht="13.5" customHeight="1">
      <c r="D473" s="7"/>
      <c r="E473" s="14" t="s">
        <v>82</v>
      </c>
      <c r="F473" s="46">
        <f>ROUND(F472*F444,0)</f>
        <v>1025</v>
      </c>
    </row>
    <row r="474" ht="13.5" customHeight="1">
      <c r="D474" s="14" t="s">
        <v>83</v>
      </c>
      <c r="E474" s="18" t="s">
        <v>84</v>
      </c>
      <c r="F474" s="53">
        <f>F472+F473</f>
        <v>6418</v>
      </c>
    </row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>
      <c r="A485" s="3" t="s">
        <v>1</v>
      </c>
      <c r="B485" s="5">
        <v>10.0</v>
      </c>
      <c r="C485" s="3" t="s">
        <v>2</v>
      </c>
      <c r="D485" s="7"/>
      <c r="E485" s="3" t="s">
        <v>3</v>
      </c>
      <c r="F485" s="9"/>
    </row>
    <row r="486" ht="13.5" customHeight="1">
      <c r="A486" s="3" t="s">
        <v>4</v>
      </c>
      <c r="B486" s="5" t="s">
        <v>5</v>
      </c>
      <c r="D486" s="7"/>
      <c r="E486" s="3" t="s">
        <v>6</v>
      </c>
      <c r="F486" s="10">
        <v>0.15</v>
      </c>
    </row>
    <row r="487" ht="13.5" customHeight="1">
      <c r="D487" s="7"/>
      <c r="E487" s="3" t="s">
        <v>8</v>
      </c>
      <c r="F487" s="10">
        <v>0.2</v>
      </c>
    </row>
    <row r="488" ht="13.5" customHeight="1">
      <c r="B488" s="5" t="s">
        <v>373</v>
      </c>
      <c r="D488" s="7"/>
      <c r="E488" s="3" t="s">
        <v>10</v>
      </c>
      <c r="F488" s="10">
        <v>0.19</v>
      </c>
    </row>
    <row r="489" ht="13.5" customHeight="1">
      <c r="A489" s="14" t="s">
        <v>11</v>
      </c>
      <c r="D489" s="7"/>
      <c r="E489" s="9"/>
      <c r="F489" s="9"/>
    </row>
    <row r="490" ht="13.5" customHeight="1">
      <c r="A490" s="18" t="s">
        <v>15</v>
      </c>
      <c r="B490" s="18" t="s">
        <v>17</v>
      </c>
      <c r="C490" s="18" t="s">
        <v>18</v>
      </c>
      <c r="D490" s="18" t="s">
        <v>19</v>
      </c>
      <c r="E490" s="18" t="s">
        <v>20</v>
      </c>
      <c r="F490" s="18" t="s">
        <v>21</v>
      </c>
    </row>
    <row r="491" ht="13.5" customHeight="1">
      <c r="A491" s="21" t="s">
        <v>22</v>
      </c>
      <c r="B491" s="21" t="s">
        <v>377</v>
      </c>
      <c r="C491" s="21" t="s">
        <v>125</v>
      </c>
      <c r="D491" s="21">
        <v>1.0</v>
      </c>
      <c r="E491" s="21">
        <v>9550.0</v>
      </c>
      <c r="F491" s="33">
        <f t="shared" ref="F491:F494" si="29">ROUND(IFERROR(D491*E491,0),0)</f>
        <v>9550</v>
      </c>
    </row>
    <row r="492" ht="13.5" customHeight="1">
      <c r="A492" s="21" t="s">
        <v>27</v>
      </c>
      <c r="B492" s="21" t="s">
        <v>382</v>
      </c>
      <c r="C492" s="21" t="s">
        <v>383</v>
      </c>
      <c r="D492" s="21">
        <v>4.0</v>
      </c>
      <c r="E492" s="21">
        <v>312.0</v>
      </c>
      <c r="F492" s="33">
        <f t="shared" si="29"/>
        <v>1248</v>
      </c>
    </row>
    <row r="493" ht="13.5" customHeight="1">
      <c r="A493" s="21" t="s">
        <v>32</v>
      </c>
      <c r="B493" s="21" t="s">
        <v>384</v>
      </c>
      <c r="C493" s="21" t="s">
        <v>383</v>
      </c>
      <c r="D493" s="21">
        <v>0.4</v>
      </c>
      <c r="E493" s="21">
        <v>1592.0</v>
      </c>
      <c r="F493" s="33">
        <f t="shared" si="29"/>
        <v>637</v>
      </c>
    </row>
    <row r="494" ht="13.5" customHeight="1">
      <c r="A494" s="21" t="s">
        <v>99</v>
      </c>
      <c r="B494" s="21" t="s">
        <v>387</v>
      </c>
      <c r="C494" s="21" t="s">
        <v>30</v>
      </c>
      <c r="D494" s="21">
        <v>10.0</v>
      </c>
      <c r="E494" s="21">
        <v>10.0</v>
      </c>
      <c r="F494" s="33">
        <f t="shared" si="29"/>
        <v>100</v>
      </c>
    </row>
    <row r="495" ht="13.5" customHeight="1">
      <c r="D495" s="7"/>
      <c r="E495" s="14" t="s">
        <v>37</v>
      </c>
      <c r="F495" s="46">
        <f>SUM(F491:F494)</f>
        <v>11535</v>
      </c>
    </row>
    <row r="496" ht="13.5" customHeight="1">
      <c r="D496" s="7"/>
      <c r="E496" s="9"/>
      <c r="F496" s="9"/>
    </row>
    <row r="497" ht="13.5" customHeight="1">
      <c r="A497" s="14" t="s">
        <v>44</v>
      </c>
      <c r="D497" s="7"/>
      <c r="E497" s="9"/>
      <c r="F497" s="9"/>
    </row>
    <row r="498" ht="13.5" customHeight="1">
      <c r="A498" s="18" t="s">
        <v>15</v>
      </c>
      <c r="B498" s="18" t="s">
        <v>17</v>
      </c>
      <c r="C498" s="18" t="s">
        <v>18</v>
      </c>
      <c r="D498" s="18" t="s">
        <v>19</v>
      </c>
      <c r="E498" s="18" t="s">
        <v>20</v>
      </c>
      <c r="F498" s="18" t="s">
        <v>21</v>
      </c>
    </row>
    <row r="499" ht="13.5" customHeight="1">
      <c r="A499" s="21" t="s">
        <v>22</v>
      </c>
      <c r="B499" s="21" t="s">
        <v>345</v>
      </c>
      <c r="C499" s="21" t="s">
        <v>51</v>
      </c>
      <c r="D499" s="187">
        <f>ROUND(1/B485,2)</f>
        <v>0.1</v>
      </c>
      <c r="E499" s="21">
        <v>65000.0</v>
      </c>
      <c r="F499" s="33">
        <f t="shared" ref="F499:F500" si="30">ROUND(IFERROR(D499*E499,0),0)</f>
        <v>6500</v>
      </c>
    </row>
    <row r="500" ht="13.5" customHeight="1">
      <c r="A500" s="21" t="s">
        <v>27</v>
      </c>
      <c r="B500" s="21" t="s">
        <v>54</v>
      </c>
      <c r="C500" s="21" t="s">
        <v>51</v>
      </c>
      <c r="D500" s="187">
        <v>0.05</v>
      </c>
      <c r="E500" s="21">
        <v>50000.0</v>
      </c>
      <c r="F500" s="33">
        <f t="shared" si="30"/>
        <v>2500</v>
      </c>
    </row>
    <row r="501" ht="13.5" customHeight="1">
      <c r="D501" s="7"/>
      <c r="E501" s="14" t="s">
        <v>37</v>
      </c>
      <c r="F501" s="46">
        <f>SUM(F499:F500)</f>
        <v>9000</v>
      </c>
    </row>
    <row r="502" ht="13.5" customHeight="1">
      <c r="D502" s="7"/>
      <c r="E502" s="14" t="s">
        <v>59</v>
      </c>
      <c r="F502" s="46">
        <f>ROUND(F501*0.5,0)</f>
        <v>4500</v>
      </c>
    </row>
    <row r="503" ht="13.5" customHeight="1">
      <c r="D503" s="7"/>
      <c r="E503" s="14" t="s">
        <v>60</v>
      </c>
      <c r="F503" s="46">
        <f>F501+F502</f>
        <v>13500</v>
      </c>
    </row>
    <row r="504" ht="13.5" customHeight="1">
      <c r="D504" s="7"/>
      <c r="E504" s="9"/>
      <c r="F504" s="9"/>
    </row>
    <row r="505" ht="13.5" customHeight="1">
      <c r="A505" s="14" t="s">
        <v>62</v>
      </c>
      <c r="D505" s="7"/>
      <c r="E505" s="9"/>
      <c r="F505" s="9"/>
    </row>
    <row r="506" ht="13.5" customHeight="1">
      <c r="A506" s="18" t="s">
        <v>15</v>
      </c>
      <c r="B506" s="18" t="s">
        <v>17</v>
      </c>
      <c r="C506" s="18" t="s">
        <v>18</v>
      </c>
      <c r="D506" s="18" t="s">
        <v>19</v>
      </c>
      <c r="E506" s="18" t="s">
        <v>20</v>
      </c>
      <c r="F506" s="18" t="s">
        <v>21</v>
      </c>
    </row>
    <row r="507" ht="13.5" customHeight="1">
      <c r="A507" s="21" t="s">
        <v>22</v>
      </c>
      <c r="B507" s="21" t="s">
        <v>394</v>
      </c>
      <c r="C507" s="21" t="s">
        <v>51</v>
      </c>
      <c r="D507" s="144">
        <v>0.01</v>
      </c>
      <c r="E507" s="21">
        <v>45000.0</v>
      </c>
      <c r="F507" s="33">
        <f>ROUND(IFERROR(D507*E507,0),0)</f>
        <v>450</v>
      </c>
    </row>
    <row r="508" ht="13.5" customHeight="1">
      <c r="A508" s="21"/>
      <c r="B508" s="21"/>
      <c r="C508" s="21"/>
      <c r="D508" s="144"/>
      <c r="E508" s="21"/>
      <c r="F508" s="33"/>
    </row>
    <row r="509" ht="13.5" customHeight="1">
      <c r="D509" s="7"/>
      <c r="E509" s="14" t="s">
        <v>37</v>
      </c>
      <c r="F509" s="46">
        <f>SUM(F507:F508)</f>
        <v>450</v>
      </c>
    </row>
    <row r="510" ht="13.5" customHeight="1">
      <c r="D510" s="7"/>
      <c r="E510" s="9"/>
      <c r="F510" s="9"/>
    </row>
    <row r="511" ht="13.5" customHeight="1">
      <c r="A511" s="14" t="s">
        <v>74</v>
      </c>
      <c r="D511" s="7"/>
      <c r="E511" s="9"/>
      <c r="F511" s="9"/>
    </row>
    <row r="512" ht="13.5" customHeight="1">
      <c r="A512" s="18"/>
      <c r="B512" s="18" t="s">
        <v>17</v>
      </c>
      <c r="C512" s="18" t="s">
        <v>18</v>
      </c>
      <c r="D512" s="18" t="s">
        <v>19</v>
      </c>
      <c r="E512" s="18" t="s">
        <v>20</v>
      </c>
      <c r="F512" s="18" t="s">
        <v>21</v>
      </c>
    </row>
    <row r="513" ht="13.5" customHeight="1">
      <c r="D513" s="7"/>
      <c r="E513" s="14" t="s">
        <v>77</v>
      </c>
      <c r="F513" s="46">
        <f>F495+F503+F509</f>
        <v>25485</v>
      </c>
    </row>
    <row r="514" ht="13.5" customHeight="1">
      <c r="D514" s="7"/>
      <c r="E514" s="14" t="s">
        <v>6</v>
      </c>
      <c r="F514" s="46">
        <f>ROUND(F513*F486,0)</f>
        <v>3823</v>
      </c>
    </row>
    <row r="515" ht="13.5" customHeight="1">
      <c r="D515" s="7"/>
      <c r="E515" s="14" t="s">
        <v>8</v>
      </c>
      <c r="F515" s="46">
        <f>ROUND(F513*F487,0)</f>
        <v>5097</v>
      </c>
    </row>
    <row r="516" ht="13.5" customHeight="1">
      <c r="D516" s="7"/>
      <c r="E516" s="14" t="s">
        <v>81</v>
      </c>
      <c r="F516" s="46">
        <f>F513+F514+F515</f>
        <v>34405</v>
      </c>
    </row>
    <row r="517" ht="13.5" customHeight="1">
      <c r="D517" s="7"/>
      <c r="E517" s="14" t="s">
        <v>82</v>
      </c>
      <c r="F517" s="46">
        <f>ROUND(F516*F488,0)</f>
        <v>6537</v>
      </c>
    </row>
    <row r="518" ht="13.5" customHeight="1">
      <c r="D518" s="14" t="s">
        <v>83</v>
      </c>
      <c r="E518" s="18" t="s">
        <v>84</v>
      </c>
      <c r="F518" s="53">
        <f>F516+F517</f>
        <v>40942</v>
      </c>
    </row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>
      <c r="A529" s="3" t="s">
        <v>1</v>
      </c>
      <c r="B529" s="5">
        <v>30.0</v>
      </c>
      <c r="C529" s="3" t="s">
        <v>2</v>
      </c>
      <c r="D529" s="7"/>
      <c r="E529" s="3" t="s">
        <v>3</v>
      </c>
      <c r="F529" s="9"/>
    </row>
    <row r="530" ht="13.5" customHeight="1">
      <c r="A530" s="3" t="s">
        <v>4</v>
      </c>
      <c r="B530" s="5" t="s">
        <v>5</v>
      </c>
      <c r="D530" s="7"/>
      <c r="E530" s="3" t="s">
        <v>6</v>
      </c>
      <c r="F530" s="10">
        <v>0.15</v>
      </c>
    </row>
    <row r="531" ht="13.5" customHeight="1">
      <c r="D531" s="7"/>
      <c r="E531" s="3" t="s">
        <v>8</v>
      </c>
      <c r="F531" s="10">
        <v>0.2</v>
      </c>
    </row>
    <row r="532" ht="13.5" customHeight="1">
      <c r="A532" s="212" t="s">
        <v>165</v>
      </c>
      <c r="B532" s="5" t="s">
        <v>398</v>
      </c>
      <c r="D532" s="7"/>
      <c r="E532" s="3" t="s">
        <v>10</v>
      </c>
      <c r="F532" s="10">
        <v>0.19</v>
      </c>
    </row>
    <row r="533" ht="13.5" customHeight="1">
      <c r="A533" s="14" t="s">
        <v>11</v>
      </c>
      <c r="D533" s="7"/>
      <c r="E533" s="9"/>
      <c r="F533" s="9"/>
    </row>
    <row r="534" ht="13.5" customHeight="1">
      <c r="A534" s="18" t="s">
        <v>15</v>
      </c>
      <c r="B534" s="18" t="s">
        <v>17</v>
      </c>
      <c r="C534" s="18" t="s">
        <v>18</v>
      </c>
      <c r="D534" s="18" t="s">
        <v>19</v>
      </c>
      <c r="E534" s="18" t="s">
        <v>20</v>
      </c>
      <c r="F534" s="18" t="s">
        <v>21</v>
      </c>
    </row>
    <row r="535" ht="13.5" customHeight="1">
      <c r="A535" s="21" t="s">
        <v>22</v>
      </c>
      <c r="B535" s="21" t="s">
        <v>401</v>
      </c>
      <c r="C535" s="21" t="s">
        <v>125</v>
      </c>
      <c r="D535" s="21">
        <v>1.05</v>
      </c>
      <c r="E535" s="21">
        <v>19500.0</v>
      </c>
      <c r="F535" s="33">
        <f t="shared" ref="F535:F538" si="31">ROUND(IFERROR(D535*E535,0),0)</f>
        <v>20475</v>
      </c>
    </row>
    <row r="536" ht="13.5" customHeight="1">
      <c r="A536" s="21" t="s">
        <v>27</v>
      </c>
      <c r="B536" s="21" t="s">
        <v>405</v>
      </c>
      <c r="C536" s="21" t="s">
        <v>383</v>
      </c>
      <c r="D536" s="21">
        <v>6.0</v>
      </c>
      <c r="E536" s="21">
        <v>312.0</v>
      </c>
      <c r="F536" s="33">
        <f t="shared" si="31"/>
        <v>1872</v>
      </c>
    </row>
    <row r="537" ht="13.5" customHeight="1">
      <c r="A537" s="21" t="s">
        <v>32</v>
      </c>
      <c r="B537" s="21" t="s">
        <v>406</v>
      </c>
      <c r="C537" s="21" t="s">
        <v>383</v>
      </c>
      <c r="D537" s="21">
        <v>0.35</v>
      </c>
      <c r="E537" s="21">
        <v>1592.0</v>
      </c>
      <c r="F537" s="33">
        <f t="shared" si="31"/>
        <v>557</v>
      </c>
    </row>
    <row r="538" ht="13.5" customHeight="1">
      <c r="A538" s="21" t="s">
        <v>99</v>
      </c>
      <c r="B538" s="21" t="s">
        <v>407</v>
      </c>
      <c r="C538" s="21" t="s">
        <v>30</v>
      </c>
      <c r="D538" s="21">
        <v>12.0</v>
      </c>
      <c r="E538" s="21">
        <v>34.0</v>
      </c>
      <c r="F538" s="33">
        <f t="shared" si="31"/>
        <v>408</v>
      </c>
    </row>
    <row r="539" ht="13.5" customHeight="1">
      <c r="D539" s="7"/>
      <c r="E539" s="14" t="s">
        <v>37</v>
      </c>
      <c r="F539" s="46">
        <f>SUM(F535:F538)</f>
        <v>23312</v>
      </c>
    </row>
    <row r="540" ht="13.5" customHeight="1">
      <c r="D540" s="7"/>
      <c r="E540" s="9"/>
      <c r="F540" s="9"/>
    </row>
    <row r="541" ht="13.5" customHeight="1">
      <c r="A541" s="14" t="s">
        <v>44</v>
      </c>
      <c r="D541" s="7"/>
      <c r="E541" s="9"/>
      <c r="F541" s="9"/>
    </row>
    <row r="542" ht="13.5" customHeight="1">
      <c r="A542" s="18" t="s">
        <v>15</v>
      </c>
      <c r="B542" s="18" t="s">
        <v>17</v>
      </c>
      <c r="C542" s="18" t="s">
        <v>18</v>
      </c>
      <c r="D542" s="18" t="s">
        <v>19</v>
      </c>
      <c r="E542" s="18" t="s">
        <v>20</v>
      </c>
      <c r="F542" s="18" t="s">
        <v>21</v>
      </c>
    </row>
    <row r="543" ht="13.5" customHeight="1">
      <c r="A543" s="21" t="s">
        <v>22</v>
      </c>
      <c r="B543" s="21" t="s">
        <v>345</v>
      </c>
      <c r="C543" s="21" t="s">
        <v>51</v>
      </c>
      <c r="D543" s="187">
        <v>0.1</v>
      </c>
      <c r="E543" s="21">
        <v>65000.0</v>
      </c>
      <c r="F543" s="33">
        <f t="shared" ref="F543:F544" si="32">ROUND(IFERROR(D543*E543,0),0)</f>
        <v>6500</v>
      </c>
    </row>
    <row r="544" ht="13.5" customHeight="1">
      <c r="A544" s="21" t="s">
        <v>27</v>
      </c>
      <c r="B544" s="21" t="s">
        <v>54</v>
      </c>
      <c r="C544" s="21" t="s">
        <v>51</v>
      </c>
      <c r="D544" s="187">
        <v>0.05</v>
      </c>
      <c r="E544" s="21">
        <v>50000.0</v>
      </c>
      <c r="F544" s="33">
        <f t="shared" si="32"/>
        <v>2500</v>
      </c>
    </row>
    <row r="545" ht="13.5" customHeight="1">
      <c r="D545" s="7"/>
      <c r="E545" s="14" t="s">
        <v>37</v>
      </c>
      <c r="F545" s="46">
        <f>SUM(F543:F544)</f>
        <v>9000</v>
      </c>
    </row>
    <row r="546" ht="13.5" customHeight="1">
      <c r="D546" s="7"/>
      <c r="E546" s="14" t="s">
        <v>59</v>
      </c>
      <c r="F546" s="46">
        <f>F545*0.5</f>
        <v>4500</v>
      </c>
    </row>
    <row r="547" ht="13.5" customHeight="1">
      <c r="D547" s="7"/>
      <c r="E547" s="14" t="s">
        <v>60</v>
      </c>
      <c r="F547" s="46">
        <f>F545+F546</f>
        <v>13500</v>
      </c>
    </row>
    <row r="548" ht="13.5" customHeight="1">
      <c r="D548" s="7"/>
      <c r="E548" s="9"/>
      <c r="F548" s="9"/>
    </row>
    <row r="549" ht="13.5" customHeight="1">
      <c r="A549" s="14" t="s">
        <v>62</v>
      </c>
      <c r="D549" s="7"/>
      <c r="E549" s="9"/>
      <c r="F549" s="9"/>
    </row>
    <row r="550" ht="13.5" customHeight="1">
      <c r="A550" s="18" t="s">
        <v>15</v>
      </c>
      <c r="B550" s="18" t="s">
        <v>17</v>
      </c>
      <c r="C550" s="18" t="s">
        <v>18</v>
      </c>
      <c r="D550" s="18" t="s">
        <v>19</v>
      </c>
      <c r="E550" s="18" t="s">
        <v>20</v>
      </c>
      <c r="F550" s="18" t="s">
        <v>21</v>
      </c>
    </row>
    <row r="551" ht="13.5" customHeight="1">
      <c r="A551" s="21" t="s">
        <v>22</v>
      </c>
      <c r="B551" s="21" t="s">
        <v>394</v>
      </c>
      <c r="C551" s="21" t="s">
        <v>51</v>
      </c>
      <c r="D551" s="144">
        <f>ROUND(0.15/B529,2)</f>
        <v>0.01</v>
      </c>
      <c r="E551" s="21">
        <v>45000.0</v>
      </c>
      <c r="F551" s="33">
        <f>ROUND(IFERROR(D551*E551,0),0)</f>
        <v>450</v>
      </c>
    </row>
    <row r="552" ht="13.5" customHeight="1">
      <c r="A552" s="21"/>
      <c r="B552" s="21"/>
      <c r="C552" s="21"/>
      <c r="D552" s="144"/>
      <c r="E552" s="21"/>
      <c r="F552" s="279"/>
    </row>
    <row r="553" ht="13.5" customHeight="1">
      <c r="D553" s="7"/>
      <c r="E553" s="14" t="s">
        <v>37</v>
      </c>
      <c r="F553" s="46">
        <f>SUM(F551:F552)</f>
        <v>450</v>
      </c>
    </row>
    <row r="554" ht="13.5" customHeight="1">
      <c r="D554" s="7"/>
      <c r="E554" s="9"/>
      <c r="F554" s="9"/>
    </row>
    <row r="555" ht="13.5" customHeight="1">
      <c r="A555" s="14" t="s">
        <v>74</v>
      </c>
      <c r="D555" s="7"/>
      <c r="E555" s="9"/>
      <c r="F555" s="9"/>
    </row>
    <row r="556" ht="13.5" customHeight="1">
      <c r="A556" s="18"/>
      <c r="B556" s="18" t="s">
        <v>17</v>
      </c>
      <c r="C556" s="18" t="s">
        <v>18</v>
      </c>
      <c r="D556" s="18" t="s">
        <v>19</v>
      </c>
      <c r="E556" s="18" t="s">
        <v>20</v>
      </c>
      <c r="F556" s="18" t="s">
        <v>21</v>
      </c>
    </row>
    <row r="557" ht="13.5" customHeight="1">
      <c r="D557" s="7"/>
      <c r="E557" s="14" t="s">
        <v>77</v>
      </c>
      <c r="F557" s="46">
        <f>F539+F547+F553</f>
        <v>37262</v>
      </c>
    </row>
    <row r="558" ht="13.5" customHeight="1">
      <c r="D558" s="7"/>
      <c r="E558" s="14" t="s">
        <v>6</v>
      </c>
      <c r="F558" s="46">
        <f>ROUND(F557*F530,0)</f>
        <v>5589</v>
      </c>
    </row>
    <row r="559" ht="13.5" customHeight="1">
      <c r="D559" s="7"/>
      <c r="E559" s="14" t="s">
        <v>8</v>
      </c>
      <c r="F559" s="46">
        <f>ROUND(F557*F531,0)</f>
        <v>7452</v>
      </c>
    </row>
    <row r="560" ht="13.5" customHeight="1">
      <c r="D560" s="7"/>
      <c r="E560" s="14" t="s">
        <v>81</v>
      </c>
      <c r="F560" s="46">
        <f>F557+F558+F559</f>
        <v>50303</v>
      </c>
    </row>
    <row r="561" ht="13.5" customHeight="1">
      <c r="D561" s="7"/>
      <c r="E561" s="14" t="s">
        <v>82</v>
      </c>
      <c r="F561" s="46">
        <f>ROUND(F560*F532,0)</f>
        <v>9558</v>
      </c>
    </row>
    <row r="562" ht="13.5" customHeight="1">
      <c r="D562" s="14" t="s">
        <v>83</v>
      </c>
      <c r="E562" s="18" t="s">
        <v>84</v>
      </c>
      <c r="F562" s="53">
        <f>F560+F561</f>
        <v>59861</v>
      </c>
    </row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>
      <c r="A573" s="3" t="s">
        <v>1</v>
      </c>
      <c r="B573" s="5">
        <v>80.0</v>
      </c>
      <c r="C573" s="3" t="s">
        <v>2</v>
      </c>
      <c r="D573" s="7"/>
      <c r="E573" s="3" t="s">
        <v>3</v>
      </c>
      <c r="F573" s="9"/>
    </row>
    <row r="574" ht="13.5" customHeight="1">
      <c r="A574" s="3" t="s">
        <v>4</v>
      </c>
      <c r="B574" s="5" t="s">
        <v>142</v>
      </c>
      <c r="D574" s="7"/>
      <c r="E574" s="3" t="s">
        <v>6</v>
      </c>
      <c r="F574" s="10">
        <v>0.15</v>
      </c>
    </row>
    <row r="575" ht="13.5" customHeight="1">
      <c r="D575" s="7"/>
      <c r="E575" s="3" t="s">
        <v>8</v>
      </c>
      <c r="F575" s="10">
        <v>0.2</v>
      </c>
    </row>
    <row r="576" ht="13.5" customHeight="1">
      <c r="B576" s="5" t="s">
        <v>415</v>
      </c>
      <c r="D576" s="7"/>
      <c r="E576" s="3" t="s">
        <v>10</v>
      </c>
      <c r="F576" s="10">
        <v>0.19</v>
      </c>
    </row>
    <row r="577" ht="13.5" customHeight="1">
      <c r="A577" s="14" t="s">
        <v>11</v>
      </c>
      <c r="D577" s="7"/>
      <c r="E577" s="9"/>
      <c r="F577" s="9"/>
    </row>
    <row r="578" ht="13.5" customHeight="1">
      <c r="A578" s="18" t="s">
        <v>15</v>
      </c>
      <c r="B578" s="18" t="s">
        <v>17</v>
      </c>
      <c r="C578" s="18" t="s">
        <v>18</v>
      </c>
      <c r="D578" s="18" t="s">
        <v>19</v>
      </c>
      <c r="E578" s="18" t="s">
        <v>20</v>
      </c>
      <c r="F578" s="18" t="s">
        <v>21</v>
      </c>
    </row>
    <row r="579" ht="13.5" customHeight="1">
      <c r="A579" s="21" t="s">
        <v>22</v>
      </c>
      <c r="B579" s="21" t="s">
        <v>416</v>
      </c>
      <c r="C579" s="21" t="s">
        <v>142</v>
      </c>
      <c r="D579" s="21">
        <v>1.0</v>
      </c>
      <c r="E579" s="21">
        <v>4300.0</v>
      </c>
      <c r="F579" s="33">
        <f t="shared" ref="F579:F581" si="33">ROUND(IFERROR(D579*E579,0),0)</f>
        <v>4300</v>
      </c>
    </row>
    <row r="580" ht="13.5" customHeight="1">
      <c r="A580" s="21" t="s">
        <v>27</v>
      </c>
      <c r="B580" s="21" t="s">
        <v>417</v>
      </c>
      <c r="C580" s="21" t="s">
        <v>383</v>
      </c>
      <c r="D580" s="21">
        <v>1.0</v>
      </c>
      <c r="E580" s="21">
        <v>312.0</v>
      </c>
      <c r="F580" s="33">
        <f t="shared" si="33"/>
        <v>312</v>
      </c>
    </row>
    <row r="581" ht="13.5" customHeight="1">
      <c r="A581" s="21" t="s">
        <v>32</v>
      </c>
      <c r="B581" s="21" t="s">
        <v>418</v>
      </c>
      <c r="C581" s="21" t="s">
        <v>383</v>
      </c>
      <c r="D581" s="21">
        <v>0.05</v>
      </c>
      <c r="E581" s="21">
        <v>1592.0</v>
      </c>
      <c r="F581" s="33">
        <f t="shared" si="33"/>
        <v>80</v>
      </c>
    </row>
    <row r="582" ht="13.5" customHeight="1">
      <c r="A582" s="21" t="s">
        <v>99</v>
      </c>
      <c r="B582" s="21"/>
      <c r="C582" s="21"/>
      <c r="D582" s="21"/>
      <c r="E582" s="21"/>
      <c r="F582" s="33">
        <f>IFERROR(D582*E582,0)</f>
        <v>0</v>
      </c>
    </row>
    <row r="583" ht="13.5" customHeight="1">
      <c r="D583" s="7"/>
      <c r="E583" s="14" t="s">
        <v>37</v>
      </c>
      <c r="F583" s="46">
        <f>SUM(F579:F582)</f>
        <v>4692</v>
      </c>
    </row>
    <row r="584" ht="13.5" customHeight="1">
      <c r="D584" s="7"/>
      <c r="E584" s="9"/>
      <c r="F584" s="9"/>
    </row>
    <row r="585" ht="13.5" customHeight="1">
      <c r="A585" s="14" t="s">
        <v>44</v>
      </c>
      <c r="D585" s="7"/>
      <c r="E585" s="9"/>
      <c r="F585" s="9"/>
    </row>
    <row r="586" ht="13.5" customHeight="1">
      <c r="A586" s="18" t="s">
        <v>15</v>
      </c>
      <c r="B586" s="18" t="s">
        <v>17</v>
      </c>
      <c r="C586" s="18" t="s">
        <v>18</v>
      </c>
      <c r="D586" s="18" t="s">
        <v>19</v>
      </c>
      <c r="E586" s="18" t="s">
        <v>20</v>
      </c>
      <c r="F586" s="18" t="s">
        <v>21</v>
      </c>
    </row>
    <row r="587" ht="13.5" customHeight="1">
      <c r="A587" s="21" t="s">
        <v>22</v>
      </c>
      <c r="B587" s="21" t="s">
        <v>345</v>
      </c>
      <c r="C587" s="21" t="s">
        <v>51</v>
      </c>
      <c r="D587" s="187">
        <f>ROUND(1/B573,2)</f>
        <v>0.01</v>
      </c>
      <c r="E587" s="21">
        <v>65000.0</v>
      </c>
      <c r="F587" s="33">
        <f t="shared" ref="F587:F588" si="34">ROUND(IFERROR(D587*E587,0),0)</f>
        <v>650</v>
      </c>
    </row>
    <row r="588" ht="13.5" customHeight="1">
      <c r="A588" s="21" t="s">
        <v>27</v>
      </c>
      <c r="B588" s="21" t="s">
        <v>54</v>
      </c>
      <c r="C588" s="21" t="s">
        <v>51</v>
      </c>
      <c r="D588" s="187">
        <f>ROUND(1/B573,2)</f>
        <v>0.01</v>
      </c>
      <c r="E588" s="21">
        <v>50000.0</v>
      </c>
      <c r="F588" s="33">
        <f t="shared" si="34"/>
        <v>500</v>
      </c>
    </row>
    <row r="589" ht="13.5" customHeight="1">
      <c r="D589" s="7"/>
      <c r="E589" s="14" t="s">
        <v>37</v>
      </c>
      <c r="F589" s="46">
        <f>SUM(F587:F588)</f>
        <v>1150</v>
      </c>
    </row>
    <row r="590" ht="13.5" customHeight="1">
      <c r="D590" s="7"/>
      <c r="E590" s="14" t="s">
        <v>59</v>
      </c>
      <c r="F590" s="46">
        <f>ROUND(F589*0.5,0)</f>
        <v>575</v>
      </c>
    </row>
    <row r="591" ht="13.5" customHeight="1">
      <c r="D591" s="7"/>
      <c r="E591" s="14" t="s">
        <v>60</v>
      </c>
      <c r="F591" s="46">
        <f>F589+F590</f>
        <v>1725</v>
      </c>
    </row>
    <row r="592" ht="13.5" customHeight="1">
      <c r="D592" s="7"/>
      <c r="E592" s="9"/>
      <c r="F592" s="9"/>
    </row>
    <row r="593" ht="13.5" customHeight="1">
      <c r="A593" s="14" t="s">
        <v>62</v>
      </c>
      <c r="D593" s="7"/>
      <c r="E593" s="9"/>
      <c r="F593" s="9"/>
    </row>
    <row r="594" ht="13.5" customHeight="1">
      <c r="A594" s="18" t="s">
        <v>15</v>
      </c>
      <c r="B594" s="18" t="s">
        <v>17</v>
      </c>
      <c r="C594" s="18" t="s">
        <v>18</v>
      </c>
      <c r="D594" s="18" t="s">
        <v>19</v>
      </c>
      <c r="E594" s="18" t="s">
        <v>20</v>
      </c>
      <c r="F594" s="18" t="s">
        <v>21</v>
      </c>
    </row>
    <row r="595" ht="13.5" customHeight="1">
      <c r="A595" s="21" t="s">
        <v>22</v>
      </c>
      <c r="B595" s="21" t="s">
        <v>394</v>
      </c>
      <c r="C595" s="21" t="s">
        <v>51</v>
      </c>
      <c r="D595" s="144">
        <f>ROUND(0.7/B573,2)</f>
        <v>0.01</v>
      </c>
      <c r="E595" s="21">
        <v>45000.0</v>
      </c>
      <c r="F595" s="33">
        <f>ROUND(IFERROR(D595*E595,0),0)</f>
        <v>450</v>
      </c>
    </row>
    <row r="596" ht="13.5" customHeight="1">
      <c r="A596" s="21"/>
      <c r="B596" s="21"/>
      <c r="C596" s="21"/>
      <c r="D596" s="144"/>
      <c r="E596" s="21"/>
      <c r="F596" s="33"/>
    </row>
    <row r="597" ht="13.5" customHeight="1">
      <c r="D597" s="7"/>
      <c r="E597" s="14" t="s">
        <v>37</v>
      </c>
      <c r="F597" s="46">
        <f>SUM(F595:F596)</f>
        <v>450</v>
      </c>
    </row>
    <row r="598" ht="13.5" customHeight="1">
      <c r="D598" s="7"/>
      <c r="E598" s="9"/>
      <c r="F598" s="9"/>
    </row>
    <row r="599" ht="13.5" customHeight="1">
      <c r="A599" s="14" t="s">
        <v>74</v>
      </c>
      <c r="D599" s="7"/>
      <c r="E599" s="9"/>
      <c r="F599" s="9"/>
    </row>
    <row r="600" ht="13.5" customHeight="1">
      <c r="A600" s="18"/>
      <c r="B600" s="18" t="s">
        <v>17</v>
      </c>
      <c r="C600" s="18" t="s">
        <v>18</v>
      </c>
      <c r="D600" s="18" t="s">
        <v>19</v>
      </c>
      <c r="E600" s="18" t="s">
        <v>20</v>
      </c>
      <c r="F600" s="18" t="s">
        <v>21</v>
      </c>
    </row>
    <row r="601" ht="13.5" customHeight="1">
      <c r="D601" s="7"/>
      <c r="E601" s="14" t="s">
        <v>77</v>
      </c>
      <c r="F601" s="46">
        <f>F583+F591+F597</f>
        <v>6867</v>
      </c>
    </row>
    <row r="602" ht="13.5" customHeight="1">
      <c r="D602" s="7"/>
      <c r="E602" s="14" t="s">
        <v>6</v>
      </c>
      <c r="F602" s="46">
        <f>ROUND(F601*F574,0)</f>
        <v>1030</v>
      </c>
    </row>
    <row r="603" ht="13.5" customHeight="1">
      <c r="D603" s="7"/>
      <c r="E603" s="14" t="s">
        <v>8</v>
      </c>
      <c r="F603" s="46">
        <f>ROUND(F601*F575,0)</f>
        <v>1373</v>
      </c>
    </row>
    <row r="604" ht="13.5" customHeight="1">
      <c r="D604" s="7"/>
      <c r="E604" s="14" t="s">
        <v>81</v>
      </c>
      <c r="F604" s="46">
        <f>F601+F602+F603</f>
        <v>9270</v>
      </c>
    </row>
    <row r="605" ht="13.5" customHeight="1">
      <c r="D605" s="7"/>
      <c r="E605" s="14" t="s">
        <v>82</v>
      </c>
      <c r="F605" s="46">
        <f>ROUND(F604*F576,0)</f>
        <v>1761</v>
      </c>
    </row>
    <row r="606" ht="13.5" customHeight="1">
      <c r="D606" s="14" t="s">
        <v>254</v>
      </c>
      <c r="E606" s="18" t="s">
        <v>84</v>
      </c>
      <c r="F606" s="53">
        <f>F604+F605</f>
        <v>11031</v>
      </c>
    </row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>
      <c r="A617" s="3" t="s">
        <v>1</v>
      </c>
      <c r="B617" s="5">
        <v>20.0</v>
      </c>
      <c r="C617" s="3" t="s">
        <v>2</v>
      </c>
      <c r="D617" s="7"/>
      <c r="E617" s="3" t="s">
        <v>3</v>
      </c>
      <c r="F617" s="9"/>
    </row>
    <row r="618" ht="13.5" customHeight="1">
      <c r="A618" s="3" t="s">
        <v>4</v>
      </c>
      <c r="B618" s="5" t="s">
        <v>5</v>
      </c>
      <c r="D618" s="7"/>
      <c r="E618" s="3" t="s">
        <v>6</v>
      </c>
      <c r="F618" s="10">
        <v>0.15</v>
      </c>
    </row>
    <row r="619" ht="13.5" customHeight="1">
      <c r="D619" s="7"/>
      <c r="E619" s="3" t="s">
        <v>8</v>
      </c>
      <c r="F619" s="10">
        <v>0.2</v>
      </c>
    </row>
    <row r="620" ht="13.5" customHeight="1">
      <c r="B620" s="5" t="s">
        <v>419</v>
      </c>
      <c r="D620" s="7"/>
      <c r="E620" s="3" t="s">
        <v>10</v>
      </c>
      <c r="F620" s="10">
        <v>0.19</v>
      </c>
    </row>
    <row r="621" ht="13.5" customHeight="1">
      <c r="A621" s="14" t="s">
        <v>11</v>
      </c>
      <c r="D621" s="7"/>
      <c r="E621" s="9"/>
      <c r="F621" s="9"/>
    </row>
    <row r="622" ht="13.5" customHeight="1">
      <c r="A622" s="18" t="s">
        <v>15</v>
      </c>
      <c r="B622" s="18" t="s">
        <v>17</v>
      </c>
      <c r="C622" s="18" t="s">
        <v>18</v>
      </c>
      <c r="D622" s="18" t="s">
        <v>19</v>
      </c>
      <c r="E622" s="18" t="s">
        <v>20</v>
      </c>
      <c r="F622" s="18" t="s">
        <v>21</v>
      </c>
    </row>
    <row r="623" ht="13.5" customHeight="1">
      <c r="A623" s="21" t="s">
        <v>22</v>
      </c>
      <c r="B623" s="21" t="s">
        <v>420</v>
      </c>
      <c r="C623" s="21" t="s">
        <v>125</v>
      </c>
      <c r="D623" s="21">
        <v>1.0</v>
      </c>
      <c r="E623" s="21">
        <v>43800.0</v>
      </c>
      <c r="F623" s="33">
        <f t="shared" ref="F623:F625" si="35">ROUND(IFERROR(D623*E623,0),0)</f>
        <v>43800</v>
      </c>
    </row>
    <row r="624" ht="13.5" customHeight="1">
      <c r="A624" s="21" t="s">
        <v>27</v>
      </c>
      <c r="B624" s="21" t="s">
        <v>421</v>
      </c>
      <c r="C624" s="21" t="s">
        <v>318</v>
      </c>
      <c r="D624" s="21">
        <f>+ROUND(0.033,2)</f>
        <v>0.03</v>
      </c>
      <c r="E624" s="21">
        <v>28304.0</v>
      </c>
      <c r="F624" s="33">
        <f t="shared" si="35"/>
        <v>849</v>
      </c>
    </row>
    <row r="625" ht="13.5" customHeight="1">
      <c r="A625" s="21" t="s">
        <v>32</v>
      </c>
      <c r="B625" s="21" t="s">
        <v>422</v>
      </c>
      <c r="C625" s="21" t="s">
        <v>142</v>
      </c>
      <c r="D625" s="21">
        <v>0.1</v>
      </c>
      <c r="E625" s="21">
        <v>2500.0</v>
      </c>
      <c r="F625" s="33">
        <f t="shared" si="35"/>
        <v>250</v>
      </c>
    </row>
    <row r="626" ht="13.5" customHeight="1">
      <c r="A626" s="21" t="s">
        <v>99</v>
      </c>
      <c r="B626" s="21"/>
      <c r="C626" s="21"/>
      <c r="D626" s="21"/>
      <c r="E626" s="21"/>
      <c r="F626" s="33">
        <f>IFERROR(D626*E626,0)</f>
        <v>0</v>
      </c>
    </row>
    <row r="627" ht="13.5" customHeight="1">
      <c r="D627" s="7"/>
      <c r="E627" s="14" t="s">
        <v>37</v>
      </c>
      <c r="F627" s="46">
        <f>SUM(F623:F626)</f>
        <v>44899</v>
      </c>
    </row>
    <row r="628" ht="13.5" customHeight="1">
      <c r="D628" s="7"/>
      <c r="E628" s="9"/>
      <c r="F628" s="9"/>
    </row>
    <row r="629" ht="13.5" customHeight="1">
      <c r="A629" s="14" t="s">
        <v>44</v>
      </c>
      <c r="D629" s="7"/>
      <c r="E629" s="9"/>
      <c r="F629" s="9"/>
    </row>
    <row r="630" ht="13.5" customHeight="1">
      <c r="A630" s="18" t="s">
        <v>15</v>
      </c>
      <c r="B630" s="18" t="s">
        <v>17</v>
      </c>
      <c r="C630" s="18" t="s">
        <v>18</v>
      </c>
      <c r="D630" s="18" t="s">
        <v>19</v>
      </c>
      <c r="E630" s="18" t="s">
        <v>20</v>
      </c>
      <c r="F630" s="18" t="s">
        <v>21</v>
      </c>
    </row>
    <row r="631" ht="13.5" customHeight="1">
      <c r="A631" s="21" t="s">
        <v>22</v>
      </c>
      <c r="B631" s="21" t="s">
        <v>345</v>
      </c>
      <c r="C631" s="21" t="s">
        <v>51</v>
      </c>
      <c r="D631" s="187">
        <f>1/B617</f>
        <v>0.05</v>
      </c>
      <c r="E631" s="21">
        <v>65000.0</v>
      </c>
      <c r="F631" s="33">
        <f t="shared" ref="F631:F632" si="36">ROUND(IFERROR(D631*E631,0),0)</f>
        <v>3250</v>
      </c>
    </row>
    <row r="632" ht="13.5" customHeight="1">
      <c r="A632" s="21" t="s">
        <v>27</v>
      </c>
      <c r="B632" s="21" t="s">
        <v>54</v>
      </c>
      <c r="C632" s="21" t="s">
        <v>51</v>
      </c>
      <c r="D632" s="187">
        <f>1/B617</f>
        <v>0.05</v>
      </c>
      <c r="E632" s="21">
        <v>50000.0</v>
      </c>
      <c r="F632" s="33">
        <f t="shared" si="36"/>
        <v>2500</v>
      </c>
    </row>
    <row r="633" ht="13.5" customHeight="1">
      <c r="D633" s="7"/>
      <c r="E633" s="14" t="s">
        <v>37</v>
      </c>
      <c r="F633" s="46">
        <f>SUM(F631:F632)</f>
        <v>5750</v>
      </c>
    </row>
    <row r="634" ht="13.5" customHeight="1">
      <c r="D634" s="7"/>
      <c r="E634" s="14" t="s">
        <v>59</v>
      </c>
      <c r="F634" s="46">
        <f>ROUND(F633*0.5,0)</f>
        <v>2875</v>
      </c>
    </row>
    <row r="635" ht="13.5" customHeight="1">
      <c r="D635" s="7"/>
      <c r="E635" s="14" t="s">
        <v>60</v>
      </c>
      <c r="F635" s="46">
        <f>F633+F634</f>
        <v>8625</v>
      </c>
    </row>
    <row r="636" ht="13.5" customHeight="1">
      <c r="D636" s="7"/>
      <c r="E636" s="9"/>
      <c r="F636" s="9"/>
    </row>
    <row r="637" ht="13.5" customHeight="1">
      <c r="A637" s="14" t="s">
        <v>62</v>
      </c>
      <c r="D637" s="7"/>
      <c r="E637" s="9"/>
      <c r="F637" s="9"/>
    </row>
    <row r="638" ht="13.5" customHeight="1">
      <c r="A638" s="18" t="s">
        <v>15</v>
      </c>
      <c r="B638" s="18" t="s">
        <v>17</v>
      </c>
      <c r="C638" s="18" t="s">
        <v>18</v>
      </c>
      <c r="D638" s="18" t="s">
        <v>19</v>
      </c>
      <c r="E638" s="18" t="s">
        <v>20</v>
      </c>
      <c r="F638" s="18" t="s">
        <v>21</v>
      </c>
    </row>
    <row r="639" ht="13.5" customHeight="1">
      <c r="A639" s="21" t="s">
        <v>22</v>
      </c>
      <c r="B639" s="21" t="s">
        <v>394</v>
      </c>
      <c r="C639" s="21" t="s">
        <v>51</v>
      </c>
      <c r="D639" s="144">
        <f>ROUND(0.15/B617,2)</f>
        <v>0.01</v>
      </c>
      <c r="E639" s="21">
        <v>45000.0</v>
      </c>
      <c r="F639" s="33">
        <f>ROUND(IFERROR(D639*E639,0),0)</f>
        <v>450</v>
      </c>
    </row>
    <row r="640" ht="13.5" customHeight="1">
      <c r="A640" s="21"/>
      <c r="B640" s="21"/>
      <c r="C640" s="21"/>
      <c r="D640" s="144"/>
      <c r="E640" s="21"/>
      <c r="F640" s="33"/>
    </row>
    <row r="641" ht="13.5" customHeight="1">
      <c r="D641" s="7"/>
      <c r="E641" s="14" t="s">
        <v>37</v>
      </c>
      <c r="F641" s="46">
        <f>SUM(F639:F640)</f>
        <v>450</v>
      </c>
    </row>
    <row r="642" ht="13.5" customHeight="1">
      <c r="D642" s="7"/>
      <c r="E642" s="9"/>
      <c r="F642" s="9"/>
    </row>
    <row r="643" ht="13.5" customHeight="1">
      <c r="A643" s="14" t="s">
        <v>74</v>
      </c>
      <c r="D643" s="7"/>
      <c r="E643" s="9"/>
      <c r="F643" s="9"/>
    </row>
    <row r="644" ht="13.5" customHeight="1">
      <c r="A644" s="18"/>
      <c r="B644" s="18" t="s">
        <v>17</v>
      </c>
      <c r="C644" s="18" t="s">
        <v>18</v>
      </c>
      <c r="D644" s="18" t="s">
        <v>19</v>
      </c>
      <c r="E644" s="18" t="s">
        <v>20</v>
      </c>
      <c r="F644" s="18" t="s">
        <v>21</v>
      </c>
    </row>
    <row r="645" ht="13.5" customHeight="1">
      <c r="D645" s="7"/>
      <c r="E645" s="14" t="s">
        <v>77</v>
      </c>
      <c r="F645" s="46">
        <f>F627+F635+F641</f>
        <v>53974</v>
      </c>
    </row>
    <row r="646" ht="13.5" customHeight="1">
      <c r="D646" s="7"/>
      <c r="E646" s="14" t="s">
        <v>6</v>
      </c>
      <c r="F646" s="46">
        <f>ROUND(F645*F618,0)</f>
        <v>8096</v>
      </c>
    </row>
    <row r="647" ht="13.5" customHeight="1">
      <c r="D647" s="7"/>
      <c r="E647" s="14" t="s">
        <v>8</v>
      </c>
      <c r="F647" s="46">
        <f>ROUND(F645*F619,0)</f>
        <v>10795</v>
      </c>
    </row>
    <row r="648" ht="13.5" customHeight="1">
      <c r="D648" s="7"/>
      <c r="E648" s="14" t="s">
        <v>81</v>
      </c>
      <c r="F648" s="46">
        <f>F645+F646+F647</f>
        <v>72865</v>
      </c>
    </row>
    <row r="649" ht="13.5" customHeight="1">
      <c r="D649" s="7"/>
      <c r="E649" s="14" t="s">
        <v>82</v>
      </c>
      <c r="F649" s="46">
        <f>ROUND(F648*F620,0)</f>
        <v>13844</v>
      </c>
    </row>
    <row r="650" ht="13.5" customHeight="1">
      <c r="D650" s="14" t="s">
        <v>83</v>
      </c>
      <c r="E650" s="18" t="s">
        <v>84</v>
      </c>
      <c r="F650" s="53">
        <f>F648+F649</f>
        <v>86709</v>
      </c>
    </row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>
      <c r="A661" s="3" t="s">
        <v>1</v>
      </c>
      <c r="B661" s="5">
        <v>15.0</v>
      </c>
      <c r="C661" s="3" t="s">
        <v>2</v>
      </c>
      <c r="D661" s="7"/>
      <c r="E661" s="3" t="s">
        <v>3</v>
      </c>
      <c r="F661" s="9"/>
    </row>
    <row r="662" ht="13.5" customHeight="1">
      <c r="A662" s="3" t="s">
        <v>4</v>
      </c>
      <c r="B662" s="5" t="s">
        <v>30</v>
      </c>
      <c r="D662" s="7"/>
      <c r="E662" s="3" t="s">
        <v>6</v>
      </c>
      <c r="F662" s="10">
        <v>0.15</v>
      </c>
    </row>
    <row r="663" ht="13.5" customHeight="1">
      <c r="D663" s="7"/>
      <c r="E663" s="3" t="s">
        <v>8</v>
      </c>
      <c r="F663" s="10">
        <v>0.2</v>
      </c>
    </row>
    <row r="664" ht="13.5" customHeight="1">
      <c r="B664" s="5" t="s">
        <v>423</v>
      </c>
      <c r="D664" s="7"/>
      <c r="E664" s="3" t="s">
        <v>10</v>
      </c>
      <c r="F664" s="10">
        <v>0.19</v>
      </c>
    </row>
    <row r="665" ht="13.5" customHeight="1">
      <c r="A665" s="14" t="s">
        <v>11</v>
      </c>
      <c r="D665" s="7"/>
      <c r="E665" s="9"/>
      <c r="F665" s="9"/>
    </row>
    <row r="666" ht="13.5" customHeight="1">
      <c r="A666" s="18" t="s">
        <v>15</v>
      </c>
      <c r="B666" s="18" t="s">
        <v>17</v>
      </c>
      <c r="C666" s="18" t="s">
        <v>18</v>
      </c>
      <c r="D666" s="18" t="s">
        <v>19</v>
      </c>
      <c r="E666" s="18" t="s">
        <v>20</v>
      </c>
      <c r="F666" s="18" t="s">
        <v>21</v>
      </c>
    </row>
    <row r="667" ht="13.5" customHeight="1">
      <c r="A667" s="21" t="s">
        <v>22</v>
      </c>
      <c r="B667" s="21" t="s">
        <v>424</v>
      </c>
      <c r="C667" s="21" t="s">
        <v>34</v>
      </c>
      <c r="D667" s="21">
        <v>1.0</v>
      </c>
      <c r="E667" s="21">
        <v>1500.0</v>
      </c>
      <c r="F667" s="33">
        <f>ROUND(IFERROR(D667*E667,0),0)</f>
        <v>1500</v>
      </c>
    </row>
    <row r="668" ht="13.5" customHeight="1">
      <c r="A668" s="21" t="s">
        <v>27</v>
      </c>
      <c r="B668" s="21"/>
      <c r="C668" s="21"/>
      <c r="D668" s="21"/>
      <c r="E668" s="21"/>
      <c r="F668" s="33">
        <f t="shared" ref="F668:F670" si="37">IFERROR(D668*E668,0)</f>
        <v>0</v>
      </c>
    </row>
    <row r="669" ht="13.5" customHeight="1">
      <c r="A669" s="21" t="s">
        <v>32</v>
      </c>
      <c r="B669" s="21"/>
      <c r="C669" s="21"/>
      <c r="D669" s="21"/>
      <c r="E669" s="21"/>
      <c r="F669" s="33">
        <f t="shared" si="37"/>
        <v>0</v>
      </c>
    </row>
    <row r="670" ht="13.5" customHeight="1">
      <c r="A670" s="21" t="s">
        <v>99</v>
      </c>
      <c r="B670" s="21"/>
      <c r="C670" s="21"/>
      <c r="D670" s="21"/>
      <c r="E670" s="21"/>
      <c r="F670" s="33">
        <f t="shared" si="37"/>
        <v>0</v>
      </c>
    </row>
    <row r="671" ht="13.5" customHeight="1">
      <c r="D671" s="7"/>
      <c r="E671" s="14" t="s">
        <v>37</v>
      </c>
      <c r="F671" s="46">
        <f>SUM(F667:F670)</f>
        <v>1500</v>
      </c>
    </row>
    <row r="672" ht="13.5" customHeight="1">
      <c r="D672" s="7"/>
      <c r="E672" s="9"/>
      <c r="F672" s="9"/>
    </row>
    <row r="673" ht="13.5" customHeight="1">
      <c r="A673" s="14" t="s">
        <v>44</v>
      </c>
      <c r="D673" s="7"/>
      <c r="E673" s="9"/>
      <c r="F673" s="9"/>
    </row>
    <row r="674" ht="13.5" customHeight="1">
      <c r="A674" s="18" t="s">
        <v>15</v>
      </c>
      <c r="B674" s="18" t="s">
        <v>17</v>
      </c>
      <c r="C674" s="18" t="s">
        <v>18</v>
      </c>
      <c r="D674" s="18" t="s">
        <v>19</v>
      </c>
      <c r="E674" s="18" t="s">
        <v>20</v>
      </c>
      <c r="F674" s="18" t="s">
        <v>21</v>
      </c>
    </row>
    <row r="675" ht="13.5" customHeight="1">
      <c r="A675" s="21" t="s">
        <v>22</v>
      </c>
      <c r="B675" s="21" t="s">
        <v>345</v>
      </c>
      <c r="C675" s="21" t="s">
        <v>51</v>
      </c>
      <c r="D675" s="187">
        <v>0.03</v>
      </c>
      <c r="E675" s="21">
        <v>65000.0</v>
      </c>
      <c r="F675" s="33">
        <f t="shared" ref="F675:F676" si="38">ROUND(IFERROR(D675*E675,0),0)</f>
        <v>1950</v>
      </c>
    </row>
    <row r="676" ht="13.5" customHeight="1">
      <c r="A676" s="21" t="s">
        <v>27</v>
      </c>
      <c r="B676" s="21" t="s">
        <v>54</v>
      </c>
      <c r="C676" s="21" t="s">
        <v>51</v>
      </c>
      <c r="D676" s="187">
        <v>0.03</v>
      </c>
      <c r="E676" s="21">
        <v>50000.0</v>
      </c>
      <c r="F676" s="33">
        <f t="shared" si="38"/>
        <v>1500</v>
      </c>
    </row>
    <row r="677" ht="13.5" customHeight="1">
      <c r="D677" s="7"/>
      <c r="E677" s="14" t="s">
        <v>37</v>
      </c>
      <c r="F677" s="46">
        <f>SUM(F675:F676)</f>
        <v>3450</v>
      </c>
    </row>
    <row r="678" ht="13.5" customHeight="1">
      <c r="D678" s="7"/>
      <c r="E678" s="14" t="s">
        <v>59</v>
      </c>
      <c r="F678" s="46">
        <f>ROUND(F677*0.5,0)</f>
        <v>1725</v>
      </c>
    </row>
    <row r="679" ht="13.5" customHeight="1">
      <c r="D679" s="7"/>
      <c r="E679" s="14" t="s">
        <v>60</v>
      </c>
      <c r="F679" s="46">
        <f>F677+F678</f>
        <v>5175</v>
      </c>
    </row>
    <row r="680" ht="13.5" customHeight="1">
      <c r="D680" s="7"/>
      <c r="E680" s="9"/>
      <c r="F680" s="9"/>
    </row>
    <row r="681" ht="13.5" customHeight="1">
      <c r="A681" s="14" t="s">
        <v>62</v>
      </c>
      <c r="D681" s="7"/>
      <c r="E681" s="9"/>
      <c r="F681" s="9"/>
    </row>
    <row r="682" ht="13.5" customHeight="1">
      <c r="A682" s="18" t="s">
        <v>15</v>
      </c>
      <c r="B682" s="18" t="s">
        <v>17</v>
      </c>
      <c r="C682" s="18" t="s">
        <v>18</v>
      </c>
      <c r="D682" s="18" t="s">
        <v>19</v>
      </c>
      <c r="E682" s="18" t="s">
        <v>20</v>
      </c>
      <c r="F682" s="18" t="s">
        <v>21</v>
      </c>
    </row>
    <row r="683" ht="13.5" customHeight="1">
      <c r="A683" s="21" t="s">
        <v>22</v>
      </c>
      <c r="B683" s="21" t="s">
        <v>394</v>
      </c>
      <c r="C683" s="21" t="s">
        <v>51</v>
      </c>
      <c r="D683" s="144">
        <f>0.15/B661</f>
        <v>0.01</v>
      </c>
      <c r="E683" s="21">
        <v>45000.0</v>
      </c>
      <c r="F683" s="33">
        <f>ROUND(IFERROR(D683*E683,0),0)</f>
        <v>450</v>
      </c>
    </row>
    <row r="684" ht="13.5" customHeight="1">
      <c r="A684" s="21"/>
      <c r="B684" s="21"/>
      <c r="C684" s="21"/>
      <c r="D684" s="144"/>
      <c r="E684" s="21"/>
      <c r="F684" s="33"/>
    </row>
    <row r="685" ht="13.5" customHeight="1">
      <c r="D685" s="7"/>
      <c r="E685" s="14" t="s">
        <v>37</v>
      </c>
      <c r="F685" s="46">
        <f>SUM(F683:F684)</f>
        <v>450</v>
      </c>
    </row>
    <row r="686" ht="13.5" customHeight="1">
      <c r="D686" s="7"/>
      <c r="E686" s="9"/>
      <c r="F686" s="9"/>
    </row>
    <row r="687" ht="13.5" customHeight="1">
      <c r="A687" s="14" t="s">
        <v>74</v>
      </c>
      <c r="D687" s="7"/>
      <c r="E687" s="9"/>
      <c r="F687" s="9"/>
    </row>
    <row r="688" ht="13.5" customHeight="1">
      <c r="A688" s="18"/>
      <c r="B688" s="18" t="s">
        <v>17</v>
      </c>
      <c r="C688" s="18" t="s">
        <v>18</v>
      </c>
      <c r="D688" s="18" t="s">
        <v>19</v>
      </c>
      <c r="E688" s="18" t="s">
        <v>20</v>
      </c>
      <c r="F688" s="18" t="s">
        <v>21</v>
      </c>
    </row>
    <row r="689" ht="13.5" customHeight="1">
      <c r="D689" s="7"/>
      <c r="E689" s="14" t="s">
        <v>77</v>
      </c>
      <c r="F689" s="46">
        <f>F671+F679+F685</f>
        <v>7125</v>
      </c>
    </row>
    <row r="690" ht="13.5" customHeight="1">
      <c r="D690" s="7"/>
      <c r="E690" s="14" t="s">
        <v>6</v>
      </c>
      <c r="F690" s="46">
        <f>ROUND(F689*F662,0)</f>
        <v>1069</v>
      </c>
    </row>
    <row r="691" ht="13.5" customHeight="1">
      <c r="D691" s="7"/>
      <c r="E691" s="14" t="s">
        <v>8</v>
      </c>
      <c r="F691" s="46">
        <f>ROUND(F689*F663,0)</f>
        <v>1425</v>
      </c>
    </row>
    <row r="692" ht="13.5" customHeight="1">
      <c r="D692" s="7"/>
      <c r="E692" s="14" t="s">
        <v>81</v>
      </c>
      <c r="F692" s="46">
        <f>F689+F690+F691</f>
        <v>9619</v>
      </c>
    </row>
    <row r="693" ht="13.5" customHeight="1">
      <c r="D693" s="7"/>
      <c r="E693" s="14" t="s">
        <v>82</v>
      </c>
      <c r="F693" s="46">
        <f>ROUND(F692*F664,0)</f>
        <v>1828</v>
      </c>
    </row>
    <row r="694" ht="13.5" customHeight="1">
      <c r="D694" s="14" t="s">
        <v>425</v>
      </c>
      <c r="E694" s="18" t="s">
        <v>84</v>
      </c>
      <c r="F694" s="53">
        <f>F692+F693</f>
        <v>11447</v>
      </c>
    </row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>
      <c r="A705" s="3" t="s">
        <v>1</v>
      </c>
      <c r="B705" s="5">
        <v>30.0</v>
      </c>
      <c r="C705" s="3" t="s">
        <v>2</v>
      </c>
      <c r="D705" s="7"/>
      <c r="E705" s="3" t="s">
        <v>3</v>
      </c>
      <c r="F705" s="9"/>
    </row>
    <row r="706" ht="13.5" customHeight="1">
      <c r="A706" s="3" t="s">
        <v>4</v>
      </c>
      <c r="B706" s="5" t="s">
        <v>5</v>
      </c>
      <c r="D706" s="7"/>
      <c r="E706" s="3" t="s">
        <v>6</v>
      </c>
      <c r="F706" s="10">
        <v>0.15</v>
      </c>
    </row>
    <row r="707" ht="13.5" customHeight="1">
      <c r="D707" s="7"/>
      <c r="E707" s="3" t="s">
        <v>8</v>
      </c>
      <c r="F707" s="10">
        <v>0.2</v>
      </c>
    </row>
    <row r="708" ht="13.5" customHeight="1">
      <c r="B708" s="5" t="s">
        <v>426</v>
      </c>
      <c r="D708" s="7"/>
      <c r="E708" s="3" t="s">
        <v>10</v>
      </c>
      <c r="F708" s="10">
        <v>0.19</v>
      </c>
    </row>
    <row r="709" ht="13.5" customHeight="1">
      <c r="A709" s="14" t="s">
        <v>11</v>
      </c>
      <c r="D709" s="7"/>
      <c r="E709" s="9"/>
      <c r="F709" s="9"/>
    </row>
    <row r="710" ht="13.5" customHeight="1">
      <c r="A710" s="18" t="s">
        <v>15</v>
      </c>
      <c r="B710" s="18" t="s">
        <v>17</v>
      </c>
      <c r="C710" s="18" t="s">
        <v>18</v>
      </c>
      <c r="D710" s="18" t="s">
        <v>19</v>
      </c>
      <c r="E710" s="18" t="s">
        <v>20</v>
      </c>
      <c r="F710" s="18" t="s">
        <v>21</v>
      </c>
    </row>
    <row r="711" ht="13.5" customHeight="1">
      <c r="A711" s="21" t="s">
        <v>22</v>
      </c>
      <c r="B711" s="21" t="s">
        <v>427</v>
      </c>
      <c r="C711" s="21" t="s">
        <v>428</v>
      </c>
      <c r="D711" s="21">
        <v>0.32</v>
      </c>
      <c r="E711" s="21">
        <v>45000.0</v>
      </c>
      <c r="F711" s="33">
        <f t="shared" ref="F711:F712" si="39">ROUND(IFERROR(D711*E711,0),0)</f>
        <v>14400</v>
      </c>
    </row>
    <row r="712" ht="13.5" customHeight="1">
      <c r="A712" s="21" t="s">
        <v>27</v>
      </c>
      <c r="B712" s="21" t="s">
        <v>429</v>
      </c>
      <c r="C712" s="21" t="s">
        <v>34</v>
      </c>
      <c r="D712" s="21">
        <v>1.0</v>
      </c>
      <c r="E712" s="21">
        <v>800.0</v>
      </c>
      <c r="F712" s="33">
        <f t="shared" si="39"/>
        <v>800</v>
      </c>
    </row>
    <row r="713" ht="13.5" customHeight="1">
      <c r="A713" s="21" t="s">
        <v>32</v>
      </c>
      <c r="B713" s="21"/>
      <c r="C713" s="21"/>
      <c r="D713" s="21"/>
      <c r="E713" s="21"/>
      <c r="F713" s="33">
        <f t="shared" ref="F713:F714" si="40">IFERROR(D713*E713,0)</f>
        <v>0</v>
      </c>
    </row>
    <row r="714" ht="13.5" customHeight="1">
      <c r="A714" s="21" t="s">
        <v>99</v>
      </c>
      <c r="B714" s="21"/>
      <c r="C714" s="21"/>
      <c r="D714" s="21"/>
      <c r="E714" s="21"/>
      <c r="F714" s="33">
        <f t="shared" si="40"/>
        <v>0</v>
      </c>
    </row>
    <row r="715" ht="13.5" customHeight="1">
      <c r="D715" s="7"/>
      <c r="E715" s="14" t="s">
        <v>37</v>
      </c>
      <c r="F715" s="46">
        <f>SUM(F711:F714)</f>
        <v>15200</v>
      </c>
    </row>
    <row r="716" ht="13.5" customHeight="1">
      <c r="D716" s="7"/>
      <c r="E716" s="9"/>
      <c r="F716" s="9"/>
    </row>
    <row r="717" ht="13.5" customHeight="1">
      <c r="A717" s="14" t="s">
        <v>44</v>
      </c>
      <c r="D717" s="7"/>
      <c r="E717" s="9"/>
      <c r="F717" s="9"/>
    </row>
    <row r="718" ht="13.5" customHeight="1">
      <c r="A718" s="18" t="s">
        <v>15</v>
      </c>
      <c r="B718" s="18" t="s">
        <v>17</v>
      </c>
      <c r="C718" s="18" t="s">
        <v>18</v>
      </c>
      <c r="D718" s="18" t="s">
        <v>19</v>
      </c>
      <c r="E718" s="18" t="s">
        <v>20</v>
      </c>
      <c r="F718" s="18" t="s">
        <v>21</v>
      </c>
    </row>
    <row r="719" ht="13.5" customHeight="1">
      <c r="A719" s="21" t="s">
        <v>22</v>
      </c>
      <c r="B719" s="21" t="s">
        <v>345</v>
      </c>
      <c r="C719" s="21" t="s">
        <v>51</v>
      </c>
      <c r="D719" s="187">
        <f>ROUND(1/B705,2)</f>
        <v>0.03</v>
      </c>
      <c r="E719" s="21">
        <v>65000.0</v>
      </c>
      <c r="F719" s="33">
        <f t="shared" ref="F719:F720" si="41">ROUND(IFERROR(D719*E719,0),0)</f>
        <v>1950</v>
      </c>
    </row>
    <row r="720" ht="13.5" customHeight="1">
      <c r="A720" s="21" t="s">
        <v>27</v>
      </c>
      <c r="B720" s="21" t="s">
        <v>54</v>
      </c>
      <c r="C720" s="21" t="s">
        <v>51</v>
      </c>
      <c r="D720" s="187">
        <f>ROUND(1/B705,2)</f>
        <v>0.03</v>
      </c>
      <c r="E720" s="21">
        <v>50000.0</v>
      </c>
      <c r="F720" s="33">
        <f t="shared" si="41"/>
        <v>1500</v>
      </c>
    </row>
    <row r="721" ht="13.5" customHeight="1">
      <c r="D721" s="7"/>
      <c r="E721" s="14" t="s">
        <v>37</v>
      </c>
      <c r="F721" s="46">
        <f>SUM(F719:F720)</f>
        <v>3450</v>
      </c>
    </row>
    <row r="722" ht="13.5" customHeight="1">
      <c r="D722" s="7"/>
      <c r="E722" s="14" t="s">
        <v>59</v>
      </c>
      <c r="F722" s="46">
        <f>ROUND(F721*0.5,0)</f>
        <v>1725</v>
      </c>
    </row>
    <row r="723" ht="13.5" customHeight="1">
      <c r="D723" s="7"/>
      <c r="E723" s="14" t="s">
        <v>60</v>
      </c>
      <c r="F723" s="46">
        <f>F721+F722</f>
        <v>5175</v>
      </c>
    </row>
    <row r="724" ht="13.5" customHeight="1">
      <c r="D724" s="7"/>
      <c r="E724" s="9"/>
      <c r="F724" s="9"/>
    </row>
    <row r="725" ht="13.5" customHeight="1">
      <c r="A725" s="14" t="s">
        <v>62</v>
      </c>
      <c r="D725" s="7"/>
      <c r="E725" s="9"/>
      <c r="F725" s="9"/>
    </row>
    <row r="726" ht="13.5" customHeight="1">
      <c r="A726" s="18" t="s">
        <v>15</v>
      </c>
      <c r="B726" s="18" t="s">
        <v>17</v>
      </c>
      <c r="C726" s="18" t="s">
        <v>18</v>
      </c>
      <c r="D726" s="18" t="s">
        <v>19</v>
      </c>
      <c r="E726" s="18" t="s">
        <v>20</v>
      </c>
      <c r="F726" s="18" t="s">
        <v>21</v>
      </c>
    </row>
    <row r="727" ht="13.5" customHeight="1">
      <c r="A727" s="21" t="s">
        <v>22</v>
      </c>
      <c r="B727" s="21" t="s">
        <v>394</v>
      </c>
      <c r="C727" s="21" t="s">
        <v>51</v>
      </c>
      <c r="D727" s="144">
        <f>ROUND(0.15/B705,2)</f>
        <v>0.01</v>
      </c>
      <c r="E727" s="21">
        <v>45000.0</v>
      </c>
      <c r="F727" s="33">
        <f>ROUND(IFERROR(D727*E727,0),0)</f>
        <v>450</v>
      </c>
    </row>
    <row r="728" ht="13.5" customHeight="1">
      <c r="A728" s="21"/>
      <c r="B728" s="21"/>
      <c r="C728" s="21"/>
      <c r="D728" s="144"/>
      <c r="E728" s="21"/>
      <c r="F728" s="33"/>
    </row>
    <row r="729" ht="13.5" customHeight="1">
      <c r="D729" s="7"/>
      <c r="E729" s="14" t="s">
        <v>37</v>
      </c>
      <c r="F729" s="46">
        <f>SUM(F727:F728)</f>
        <v>450</v>
      </c>
    </row>
    <row r="730" ht="13.5" customHeight="1">
      <c r="D730" s="7"/>
      <c r="E730" s="9"/>
      <c r="F730" s="9"/>
    </row>
    <row r="731" ht="13.5" customHeight="1">
      <c r="A731" s="14" t="s">
        <v>74</v>
      </c>
      <c r="D731" s="7"/>
      <c r="E731" s="9"/>
      <c r="F731" s="9"/>
    </row>
    <row r="732" ht="13.5" customHeight="1">
      <c r="A732" s="18"/>
      <c r="B732" s="18" t="s">
        <v>17</v>
      </c>
      <c r="C732" s="18" t="s">
        <v>18</v>
      </c>
      <c r="D732" s="18" t="s">
        <v>19</v>
      </c>
      <c r="E732" s="18" t="s">
        <v>20</v>
      </c>
      <c r="F732" s="18" t="s">
        <v>21</v>
      </c>
    </row>
    <row r="733" ht="13.5" customHeight="1">
      <c r="D733" s="7"/>
      <c r="E733" s="14" t="s">
        <v>77</v>
      </c>
      <c r="F733" s="46">
        <f>F715+F723+F729</f>
        <v>20825</v>
      </c>
    </row>
    <row r="734" ht="13.5" customHeight="1">
      <c r="D734" s="7"/>
      <c r="E734" s="14" t="s">
        <v>6</v>
      </c>
      <c r="F734" s="46">
        <f>ROUND(F733*F706,0)</f>
        <v>3124</v>
      </c>
    </row>
    <row r="735" ht="13.5" customHeight="1">
      <c r="D735" s="7"/>
      <c r="E735" s="14" t="s">
        <v>8</v>
      </c>
      <c r="F735" s="46">
        <f>ROUND(F733*F707,0)</f>
        <v>4165</v>
      </c>
    </row>
    <row r="736" ht="13.5" customHeight="1">
      <c r="D736" s="7"/>
      <c r="E736" s="14" t="s">
        <v>81</v>
      </c>
      <c r="F736" s="46">
        <f>F733+F734+F735</f>
        <v>28114</v>
      </c>
    </row>
    <row r="737" ht="13.5" customHeight="1">
      <c r="D737" s="7"/>
      <c r="E737" s="14" t="s">
        <v>82</v>
      </c>
      <c r="F737" s="46">
        <f>ROUND(F736*F708,0)</f>
        <v>5342</v>
      </c>
    </row>
    <row r="738" ht="13.5" customHeight="1">
      <c r="D738" s="14" t="s">
        <v>83</v>
      </c>
      <c r="E738" s="18" t="s">
        <v>84</v>
      </c>
      <c r="F738" s="53">
        <f>F736+F737</f>
        <v>33456</v>
      </c>
    </row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>
      <c r="A749" s="3" t="s">
        <v>1</v>
      </c>
      <c r="B749" s="5">
        <v>30.0</v>
      </c>
      <c r="C749" s="3" t="s">
        <v>2</v>
      </c>
      <c r="D749" s="7"/>
      <c r="E749" s="3" t="s">
        <v>3</v>
      </c>
      <c r="F749" s="9"/>
    </row>
    <row r="750" ht="13.5" customHeight="1">
      <c r="A750" s="3" t="s">
        <v>4</v>
      </c>
      <c r="B750" s="5" t="s">
        <v>5</v>
      </c>
      <c r="D750" s="7"/>
      <c r="E750" s="3" t="s">
        <v>6</v>
      </c>
      <c r="F750" s="10">
        <v>0.15</v>
      </c>
    </row>
    <row r="751" ht="13.5" customHeight="1">
      <c r="D751" s="7"/>
      <c r="E751" s="3" t="s">
        <v>8</v>
      </c>
      <c r="F751" s="10">
        <v>0.2</v>
      </c>
    </row>
    <row r="752" ht="13.5" customHeight="1">
      <c r="B752" s="5" t="s">
        <v>430</v>
      </c>
      <c r="D752" s="7"/>
      <c r="E752" s="3" t="s">
        <v>10</v>
      </c>
      <c r="F752" s="10">
        <v>0.19</v>
      </c>
    </row>
    <row r="753" ht="13.5" customHeight="1">
      <c r="A753" s="14" t="s">
        <v>11</v>
      </c>
      <c r="D753" s="7"/>
      <c r="E753" s="9"/>
      <c r="F753" s="9"/>
    </row>
    <row r="754" ht="13.5" customHeight="1">
      <c r="A754" s="18" t="s">
        <v>15</v>
      </c>
      <c r="B754" s="18" t="s">
        <v>17</v>
      </c>
      <c r="C754" s="18" t="s">
        <v>18</v>
      </c>
      <c r="D754" s="18" t="s">
        <v>19</v>
      </c>
      <c r="E754" s="18" t="s">
        <v>20</v>
      </c>
      <c r="F754" s="18" t="s">
        <v>21</v>
      </c>
    </row>
    <row r="755" ht="13.5" customHeight="1">
      <c r="A755" s="21" t="s">
        <v>22</v>
      </c>
      <c r="B755" s="21" t="s">
        <v>431</v>
      </c>
      <c r="C755" s="21" t="s">
        <v>125</v>
      </c>
      <c r="D755" s="21">
        <v>1.0</v>
      </c>
      <c r="E755" s="21">
        <v>65000.0</v>
      </c>
      <c r="F755" s="33">
        <f>ROUND(IFERROR(D755*E755,0),0)</f>
        <v>65000</v>
      </c>
    </row>
    <row r="756" ht="13.5" customHeight="1">
      <c r="A756" s="21" t="s">
        <v>27</v>
      </c>
      <c r="B756" s="21"/>
      <c r="C756" s="21"/>
      <c r="D756" s="21"/>
      <c r="E756" s="21"/>
      <c r="F756" s="21">
        <f t="shared" ref="F756:F758" si="42">IFERROR(D756*E756,0)</f>
        <v>0</v>
      </c>
    </row>
    <row r="757" ht="13.5" customHeight="1">
      <c r="A757" s="21" t="s">
        <v>32</v>
      </c>
      <c r="B757" s="21"/>
      <c r="C757" s="21"/>
      <c r="D757" s="21"/>
      <c r="E757" s="21"/>
      <c r="F757" s="21">
        <f t="shared" si="42"/>
        <v>0</v>
      </c>
    </row>
    <row r="758" ht="13.5" customHeight="1">
      <c r="A758" s="21" t="s">
        <v>99</v>
      </c>
      <c r="B758" s="21"/>
      <c r="C758" s="21"/>
      <c r="D758" s="21"/>
      <c r="E758" s="21"/>
      <c r="F758" s="21">
        <f t="shared" si="42"/>
        <v>0</v>
      </c>
    </row>
    <row r="759" ht="13.5" customHeight="1">
      <c r="D759" s="7"/>
      <c r="E759" s="14" t="s">
        <v>37</v>
      </c>
      <c r="F759" s="46">
        <f>SUM(F755:F758)</f>
        <v>65000</v>
      </c>
    </row>
    <row r="760" ht="13.5" customHeight="1">
      <c r="D760" s="7"/>
      <c r="E760" s="9"/>
      <c r="F760" s="9"/>
    </row>
    <row r="761" ht="13.5" customHeight="1">
      <c r="A761" s="14" t="s">
        <v>44</v>
      </c>
      <c r="D761" s="7"/>
      <c r="E761" s="9"/>
      <c r="F761" s="9"/>
    </row>
    <row r="762" ht="13.5" customHeight="1">
      <c r="A762" s="18" t="s">
        <v>15</v>
      </c>
      <c r="B762" s="18" t="s">
        <v>17</v>
      </c>
      <c r="C762" s="18" t="s">
        <v>18</v>
      </c>
      <c r="D762" s="18" t="s">
        <v>19</v>
      </c>
      <c r="E762" s="18" t="s">
        <v>20</v>
      </c>
      <c r="F762" s="18" t="s">
        <v>21</v>
      </c>
    </row>
    <row r="763" ht="13.5" customHeight="1">
      <c r="A763" s="21" t="s">
        <v>22</v>
      </c>
      <c r="B763" s="21" t="s">
        <v>345</v>
      </c>
      <c r="C763" s="21" t="s">
        <v>51</v>
      </c>
      <c r="D763" s="187">
        <f>ROUND(1/B749,2)</f>
        <v>0.03</v>
      </c>
      <c r="E763" s="21">
        <v>65000.0</v>
      </c>
      <c r="F763" s="33">
        <f t="shared" ref="F763:F764" si="43">ROUND(IFERROR(D763*E763,0),0)</f>
        <v>1950</v>
      </c>
    </row>
    <row r="764" ht="13.5" customHeight="1">
      <c r="A764" s="21" t="s">
        <v>27</v>
      </c>
      <c r="B764" s="21" t="s">
        <v>54</v>
      </c>
      <c r="C764" s="21" t="s">
        <v>51</v>
      </c>
      <c r="D764" s="187">
        <f>ROUND(1/B749,2)</f>
        <v>0.03</v>
      </c>
      <c r="E764" s="21">
        <v>50000.0</v>
      </c>
      <c r="F764" s="33">
        <f t="shared" si="43"/>
        <v>1500</v>
      </c>
    </row>
    <row r="765" ht="13.5" customHeight="1">
      <c r="D765" s="7"/>
      <c r="E765" s="14" t="s">
        <v>37</v>
      </c>
      <c r="F765" s="46">
        <f>SUM(F763:F764)</f>
        <v>3450</v>
      </c>
    </row>
    <row r="766" ht="13.5" customHeight="1">
      <c r="D766" s="7"/>
      <c r="E766" s="14" t="s">
        <v>59</v>
      </c>
      <c r="F766" s="46">
        <f>ROUND(F765*0.5,0)</f>
        <v>1725</v>
      </c>
    </row>
    <row r="767" ht="13.5" customHeight="1">
      <c r="D767" s="7"/>
      <c r="E767" s="14" t="s">
        <v>60</v>
      </c>
      <c r="F767" s="46">
        <f>F765+F766</f>
        <v>5175</v>
      </c>
    </row>
    <row r="768" ht="13.5" customHeight="1">
      <c r="D768" s="7"/>
      <c r="E768" s="9"/>
      <c r="F768" s="9"/>
    </row>
    <row r="769" ht="13.5" customHeight="1">
      <c r="A769" s="14" t="s">
        <v>62</v>
      </c>
      <c r="D769" s="7"/>
      <c r="E769" s="9"/>
      <c r="F769" s="9"/>
    </row>
    <row r="770" ht="13.5" customHeight="1">
      <c r="A770" s="18" t="s">
        <v>15</v>
      </c>
      <c r="B770" s="18" t="s">
        <v>17</v>
      </c>
      <c r="C770" s="18" t="s">
        <v>18</v>
      </c>
      <c r="D770" s="18" t="s">
        <v>19</v>
      </c>
      <c r="E770" s="18" t="s">
        <v>20</v>
      </c>
      <c r="F770" s="18" t="s">
        <v>21</v>
      </c>
    </row>
    <row r="771" ht="13.5" customHeight="1">
      <c r="A771" s="21" t="s">
        <v>22</v>
      </c>
      <c r="B771" s="21" t="s">
        <v>394</v>
      </c>
      <c r="C771" s="21" t="s">
        <v>51</v>
      </c>
      <c r="D771" s="144">
        <f>ROUND(0.15/B749,2)</f>
        <v>0.01</v>
      </c>
      <c r="E771" s="21">
        <v>45000.0</v>
      </c>
      <c r="F771" s="33">
        <f>ROUND(IFERROR(D771*E771,0),0)</f>
        <v>450</v>
      </c>
    </row>
    <row r="772" ht="13.5" customHeight="1">
      <c r="A772" s="21"/>
      <c r="B772" s="21"/>
      <c r="C772" s="21"/>
      <c r="D772" s="144"/>
      <c r="E772" s="21"/>
      <c r="F772" s="279"/>
    </row>
    <row r="773" ht="13.5" customHeight="1">
      <c r="D773" s="7"/>
      <c r="E773" s="14" t="s">
        <v>37</v>
      </c>
      <c r="F773" s="46">
        <f>SUM(F771:F772)</f>
        <v>450</v>
      </c>
    </row>
    <row r="774" ht="13.5" customHeight="1">
      <c r="D774" s="7"/>
      <c r="E774" s="9"/>
      <c r="F774" s="9"/>
    </row>
    <row r="775" ht="13.5" customHeight="1">
      <c r="A775" s="14" t="s">
        <v>74</v>
      </c>
      <c r="D775" s="7"/>
      <c r="E775" s="9"/>
      <c r="F775" s="9"/>
    </row>
    <row r="776" ht="13.5" customHeight="1">
      <c r="A776" s="18"/>
      <c r="B776" s="18" t="s">
        <v>17</v>
      </c>
      <c r="C776" s="18" t="s">
        <v>18</v>
      </c>
      <c r="D776" s="18" t="s">
        <v>19</v>
      </c>
      <c r="E776" s="18" t="s">
        <v>20</v>
      </c>
      <c r="F776" s="18" t="s">
        <v>21</v>
      </c>
    </row>
    <row r="777" ht="13.5" customHeight="1">
      <c r="D777" s="7"/>
      <c r="E777" s="14" t="s">
        <v>77</v>
      </c>
      <c r="F777" s="46">
        <f>F759+F767+F773</f>
        <v>70625</v>
      </c>
    </row>
    <row r="778" ht="13.5" customHeight="1">
      <c r="D778" s="7"/>
      <c r="E778" s="14" t="s">
        <v>6</v>
      </c>
      <c r="F778" s="46">
        <f>ROUND(F777*F750,0)</f>
        <v>10594</v>
      </c>
    </row>
    <row r="779" ht="13.5" customHeight="1">
      <c r="D779" s="7"/>
      <c r="E779" s="14" t="s">
        <v>8</v>
      </c>
      <c r="F779" s="46">
        <f>ROUND(F777*F751,0)</f>
        <v>14125</v>
      </c>
    </row>
    <row r="780" ht="13.5" customHeight="1">
      <c r="D780" s="7"/>
      <c r="E780" s="14" t="s">
        <v>81</v>
      </c>
      <c r="F780" s="46">
        <f>F777+F778+F779</f>
        <v>95344</v>
      </c>
    </row>
    <row r="781" ht="13.5" customHeight="1">
      <c r="D781" s="7"/>
      <c r="E781" s="14" t="s">
        <v>82</v>
      </c>
      <c r="F781" s="46">
        <f>ROUND(F780*F752,0)</f>
        <v>18115</v>
      </c>
    </row>
    <row r="782" ht="13.5" customHeight="1">
      <c r="D782" s="14" t="s">
        <v>83</v>
      </c>
      <c r="E782" s="18" t="s">
        <v>84</v>
      </c>
      <c r="F782" s="53">
        <f>F780+F781</f>
        <v>113459</v>
      </c>
    </row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>
      <c r="A793" s="3" t="s">
        <v>1</v>
      </c>
      <c r="B793" s="5">
        <v>20.0</v>
      </c>
      <c r="C793" s="3" t="s">
        <v>2</v>
      </c>
      <c r="D793" s="7"/>
      <c r="E793" s="3" t="s">
        <v>3</v>
      </c>
      <c r="F793" s="9"/>
    </row>
    <row r="794" ht="13.5" customHeight="1">
      <c r="A794" s="3" t="s">
        <v>4</v>
      </c>
      <c r="B794" s="5" t="s">
        <v>5</v>
      </c>
      <c r="D794" s="7"/>
      <c r="E794" s="3" t="s">
        <v>6</v>
      </c>
      <c r="F794" s="10">
        <v>0.15</v>
      </c>
    </row>
    <row r="795" ht="13.5" customHeight="1">
      <c r="D795" s="7"/>
      <c r="E795" s="3" t="s">
        <v>8</v>
      </c>
      <c r="F795" s="10">
        <v>0.2</v>
      </c>
    </row>
    <row r="796" ht="13.5" customHeight="1">
      <c r="B796" s="5" t="s">
        <v>432</v>
      </c>
      <c r="D796" s="7"/>
      <c r="E796" s="3" t="s">
        <v>10</v>
      </c>
      <c r="F796" s="10">
        <v>0.19</v>
      </c>
    </row>
    <row r="797" ht="13.5" customHeight="1">
      <c r="A797" s="14" t="s">
        <v>11</v>
      </c>
      <c r="D797" s="7"/>
      <c r="E797" s="9"/>
      <c r="F797" s="9"/>
    </row>
    <row r="798" ht="13.5" customHeight="1">
      <c r="A798" s="18" t="s">
        <v>15</v>
      </c>
      <c r="B798" s="18" t="s">
        <v>17</v>
      </c>
      <c r="C798" s="18" t="s">
        <v>18</v>
      </c>
      <c r="D798" s="18" t="s">
        <v>19</v>
      </c>
      <c r="E798" s="18" t="s">
        <v>20</v>
      </c>
      <c r="F798" s="18" t="s">
        <v>21</v>
      </c>
    </row>
    <row r="799" ht="13.5" customHeight="1">
      <c r="A799" s="21" t="s">
        <v>22</v>
      </c>
      <c r="B799" s="21" t="s">
        <v>433</v>
      </c>
      <c r="C799" s="21" t="s">
        <v>5</v>
      </c>
      <c r="D799" s="21">
        <v>1.0</v>
      </c>
      <c r="E799" s="21">
        <v>9500.0</v>
      </c>
      <c r="F799" s="33">
        <f t="shared" ref="F799:F802" si="44">ROUND(IFERROR(D799*E799,0),0)</f>
        <v>9500</v>
      </c>
    </row>
    <row r="800" ht="13.5" customHeight="1">
      <c r="A800" s="21" t="s">
        <v>27</v>
      </c>
      <c r="B800" s="21" t="s">
        <v>434</v>
      </c>
      <c r="C800" s="21" t="s">
        <v>383</v>
      </c>
      <c r="D800" s="21">
        <v>4.0</v>
      </c>
      <c r="E800" s="21">
        <v>312.0</v>
      </c>
      <c r="F800" s="33">
        <f t="shared" si="44"/>
        <v>1248</v>
      </c>
    </row>
    <row r="801" ht="13.5" customHeight="1">
      <c r="A801" s="21" t="s">
        <v>32</v>
      </c>
      <c r="B801" s="21" t="s">
        <v>435</v>
      </c>
      <c r="C801" s="21" t="s">
        <v>383</v>
      </c>
      <c r="D801" s="21">
        <v>0.4</v>
      </c>
      <c r="E801" s="21">
        <v>1592.0</v>
      </c>
      <c r="F801" s="33">
        <f t="shared" si="44"/>
        <v>637</v>
      </c>
    </row>
    <row r="802" ht="13.5" customHeight="1">
      <c r="A802" s="21" t="s">
        <v>99</v>
      </c>
      <c r="B802" s="21" t="s">
        <v>436</v>
      </c>
      <c r="C802" s="21" t="s">
        <v>30</v>
      </c>
      <c r="D802" s="21">
        <v>10.0</v>
      </c>
      <c r="E802" s="21">
        <v>10.0</v>
      </c>
      <c r="F802" s="33">
        <f t="shared" si="44"/>
        <v>100</v>
      </c>
    </row>
    <row r="803" ht="13.5" customHeight="1">
      <c r="D803" s="7"/>
      <c r="E803" s="14" t="s">
        <v>37</v>
      </c>
      <c r="F803" s="46">
        <f>SUM(F799:F802)</f>
        <v>11485</v>
      </c>
    </row>
    <row r="804" ht="13.5" customHeight="1">
      <c r="D804" s="7"/>
      <c r="E804" s="9"/>
      <c r="F804" s="9"/>
    </row>
    <row r="805" ht="13.5" customHeight="1">
      <c r="A805" s="14" t="s">
        <v>44</v>
      </c>
      <c r="D805" s="7"/>
      <c r="E805" s="9"/>
      <c r="F805" s="9"/>
    </row>
    <row r="806" ht="13.5" customHeight="1">
      <c r="A806" s="18" t="s">
        <v>15</v>
      </c>
      <c r="B806" s="18" t="s">
        <v>17</v>
      </c>
      <c r="C806" s="18" t="s">
        <v>18</v>
      </c>
      <c r="D806" s="18" t="s">
        <v>19</v>
      </c>
      <c r="E806" s="18" t="s">
        <v>20</v>
      </c>
      <c r="F806" s="18" t="s">
        <v>21</v>
      </c>
    </row>
    <row r="807" ht="13.5" customHeight="1">
      <c r="A807" s="21" t="s">
        <v>22</v>
      </c>
      <c r="B807" s="21" t="s">
        <v>345</v>
      </c>
      <c r="C807" s="21" t="s">
        <v>51</v>
      </c>
      <c r="D807" s="187">
        <f>ROUND(1/B793,2)</f>
        <v>0.05</v>
      </c>
      <c r="E807" s="21">
        <v>65000.0</v>
      </c>
      <c r="F807" s="33">
        <f t="shared" ref="F807:F808" si="45">ROUND(IFERROR(D807*E807,0),0)</f>
        <v>3250</v>
      </c>
    </row>
    <row r="808" ht="13.5" customHeight="1">
      <c r="A808" s="21" t="s">
        <v>27</v>
      </c>
      <c r="B808" s="21" t="s">
        <v>54</v>
      </c>
      <c r="C808" s="21" t="s">
        <v>51</v>
      </c>
      <c r="D808" s="187">
        <f>ROUND(1/B793,2)</f>
        <v>0.05</v>
      </c>
      <c r="E808" s="21">
        <v>50000.0</v>
      </c>
      <c r="F808" s="33">
        <f t="shared" si="45"/>
        <v>2500</v>
      </c>
    </row>
    <row r="809" ht="13.5" customHeight="1">
      <c r="D809" s="7"/>
      <c r="E809" s="14" t="s">
        <v>37</v>
      </c>
      <c r="F809" s="46">
        <f>SUM(F807:F808)</f>
        <v>5750</v>
      </c>
    </row>
    <row r="810" ht="13.5" customHeight="1">
      <c r="D810" s="7"/>
      <c r="E810" s="14" t="s">
        <v>59</v>
      </c>
      <c r="F810" s="46">
        <f>F809*0.5</f>
        <v>2875</v>
      </c>
    </row>
    <row r="811" ht="13.5" customHeight="1">
      <c r="D811" s="7"/>
      <c r="E811" s="14" t="s">
        <v>60</v>
      </c>
      <c r="F811" s="46">
        <f>F809+F810</f>
        <v>8625</v>
      </c>
    </row>
    <row r="812" ht="13.5" customHeight="1">
      <c r="D812" s="7"/>
      <c r="E812" s="9"/>
      <c r="F812" s="9"/>
    </row>
    <row r="813" ht="13.5" customHeight="1">
      <c r="A813" s="14" t="s">
        <v>62</v>
      </c>
      <c r="D813" s="7"/>
      <c r="E813" s="9"/>
      <c r="F813" s="9"/>
    </row>
    <row r="814" ht="13.5" customHeight="1">
      <c r="A814" s="18" t="s">
        <v>15</v>
      </c>
      <c r="B814" s="18" t="s">
        <v>17</v>
      </c>
      <c r="C814" s="18" t="s">
        <v>18</v>
      </c>
      <c r="D814" s="18" t="s">
        <v>19</v>
      </c>
      <c r="E814" s="18" t="s">
        <v>20</v>
      </c>
      <c r="F814" s="18" t="s">
        <v>21</v>
      </c>
    </row>
    <row r="815" ht="13.5" customHeight="1">
      <c r="A815" s="21" t="s">
        <v>22</v>
      </c>
      <c r="B815" s="21" t="s">
        <v>394</v>
      </c>
      <c r="C815" s="21" t="s">
        <v>51</v>
      </c>
      <c r="D815" s="144">
        <f>ROUND(0.15/B793,2)</f>
        <v>0.01</v>
      </c>
      <c r="E815" s="21">
        <v>45000.0</v>
      </c>
      <c r="F815" s="33">
        <f>ROUND(IFERROR(D815*E815,0),0)</f>
        <v>450</v>
      </c>
    </row>
    <row r="816" ht="13.5" customHeight="1">
      <c r="A816" s="21"/>
      <c r="B816" s="21"/>
      <c r="C816" s="21"/>
      <c r="D816" s="144"/>
      <c r="E816" s="21"/>
      <c r="F816" s="33"/>
    </row>
    <row r="817" ht="13.5" customHeight="1">
      <c r="D817" s="7"/>
      <c r="E817" s="14" t="s">
        <v>37</v>
      </c>
      <c r="F817" s="46">
        <f>SUM(F815:F816)</f>
        <v>450</v>
      </c>
    </row>
    <row r="818" ht="13.5" customHeight="1">
      <c r="D818" s="7"/>
      <c r="E818" s="9"/>
      <c r="F818" s="9"/>
    </row>
    <row r="819" ht="13.5" customHeight="1">
      <c r="A819" s="14" t="s">
        <v>74</v>
      </c>
      <c r="D819" s="7"/>
      <c r="E819" s="9"/>
      <c r="F819" s="9"/>
    </row>
    <row r="820" ht="13.5" customHeight="1">
      <c r="A820" s="18"/>
      <c r="B820" s="18" t="s">
        <v>17</v>
      </c>
      <c r="C820" s="18" t="s">
        <v>18</v>
      </c>
      <c r="D820" s="18" t="s">
        <v>19</v>
      </c>
      <c r="E820" s="18" t="s">
        <v>20</v>
      </c>
      <c r="F820" s="18" t="s">
        <v>21</v>
      </c>
    </row>
    <row r="821" ht="13.5" customHeight="1">
      <c r="D821" s="7"/>
      <c r="E821" s="14" t="s">
        <v>77</v>
      </c>
      <c r="F821" s="46">
        <f>F803+F811+F817</f>
        <v>20560</v>
      </c>
    </row>
    <row r="822" ht="13.5" customHeight="1">
      <c r="D822" s="7"/>
      <c r="E822" s="14" t="s">
        <v>6</v>
      </c>
      <c r="F822" s="46">
        <f>ROUND(F821*F794,0)</f>
        <v>3084</v>
      </c>
    </row>
    <row r="823" ht="13.5" customHeight="1">
      <c r="D823" s="7"/>
      <c r="E823" s="14" t="s">
        <v>8</v>
      </c>
      <c r="F823" s="46">
        <f>ROUND(F821*F795,0)</f>
        <v>4112</v>
      </c>
    </row>
    <row r="824" ht="13.5" customHeight="1">
      <c r="D824" s="7"/>
      <c r="E824" s="14" t="s">
        <v>81</v>
      </c>
      <c r="F824" s="46">
        <f>F821+F822+F823</f>
        <v>27756</v>
      </c>
    </row>
    <row r="825" ht="13.5" customHeight="1">
      <c r="D825" s="7"/>
      <c r="E825" s="14" t="s">
        <v>82</v>
      </c>
      <c r="F825" s="46">
        <f>ROUND(F824*F796,0)</f>
        <v>5274</v>
      </c>
    </row>
    <row r="826" ht="13.5" customHeight="1">
      <c r="D826" s="14" t="s">
        <v>83</v>
      </c>
      <c r="E826" s="18" t="s">
        <v>84</v>
      </c>
      <c r="F826" s="53">
        <f>F824+F825</f>
        <v>33030</v>
      </c>
    </row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>
      <c r="A837" s="3" t="s">
        <v>1</v>
      </c>
      <c r="B837" s="5">
        <v>45.0</v>
      </c>
      <c r="C837" s="3" t="s">
        <v>2</v>
      </c>
      <c r="D837" s="7"/>
      <c r="E837" s="3" t="s">
        <v>3</v>
      </c>
      <c r="F837" s="9"/>
    </row>
    <row r="838" ht="13.5" customHeight="1">
      <c r="A838" s="3" t="s">
        <v>4</v>
      </c>
      <c r="B838" s="5" t="s">
        <v>5</v>
      </c>
      <c r="D838" s="7"/>
      <c r="E838" s="3" t="s">
        <v>6</v>
      </c>
      <c r="F838" s="10">
        <v>0.15</v>
      </c>
    </row>
    <row r="839" ht="13.5" customHeight="1">
      <c r="D839" s="7"/>
      <c r="E839" s="3" t="s">
        <v>8</v>
      </c>
      <c r="F839" s="10">
        <v>0.2</v>
      </c>
    </row>
    <row r="840" ht="13.5" customHeight="1">
      <c r="B840" s="5" t="s">
        <v>437</v>
      </c>
      <c r="D840" s="7"/>
      <c r="E840" s="3" t="s">
        <v>10</v>
      </c>
      <c r="F840" s="10">
        <v>0.19</v>
      </c>
    </row>
    <row r="841" ht="13.5" customHeight="1">
      <c r="A841" s="14" t="s">
        <v>11</v>
      </c>
      <c r="D841" s="7"/>
      <c r="E841" s="9"/>
      <c r="F841" s="9"/>
    </row>
    <row r="842" ht="13.5" customHeight="1">
      <c r="A842" s="18" t="s">
        <v>15</v>
      </c>
      <c r="B842" s="18" t="s">
        <v>17</v>
      </c>
      <c r="C842" s="18" t="s">
        <v>18</v>
      </c>
      <c r="D842" s="18" t="s">
        <v>19</v>
      </c>
      <c r="E842" s="18" t="s">
        <v>20</v>
      </c>
      <c r="F842" s="18" t="s">
        <v>21</v>
      </c>
    </row>
    <row r="843" ht="13.5" customHeight="1">
      <c r="A843" s="21" t="s">
        <v>22</v>
      </c>
      <c r="B843" s="21" t="s">
        <v>438</v>
      </c>
      <c r="C843" s="21" t="s">
        <v>439</v>
      </c>
      <c r="D843" s="21">
        <v>0.5</v>
      </c>
      <c r="E843" s="21">
        <v>6500.0</v>
      </c>
      <c r="F843" s="33">
        <f t="shared" ref="F843:F845" si="46">ROUND(IFERROR(D843*E843,0),0)</f>
        <v>3250</v>
      </c>
    </row>
    <row r="844" ht="13.5" customHeight="1">
      <c r="A844" s="21" t="s">
        <v>27</v>
      </c>
      <c r="B844" s="21" t="s">
        <v>440</v>
      </c>
      <c r="C844" s="21" t="s">
        <v>34</v>
      </c>
      <c r="D844" s="21">
        <v>0.05</v>
      </c>
      <c r="E844" s="21">
        <v>8000.0</v>
      </c>
      <c r="F844" s="33">
        <f t="shared" si="46"/>
        <v>400</v>
      </c>
    </row>
    <row r="845" ht="13.5" customHeight="1">
      <c r="A845" s="21" t="s">
        <v>32</v>
      </c>
      <c r="B845" s="21" t="s">
        <v>441</v>
      </c>
      <c r="C845" s="21" t="s">
        <v>439</v>
      </c>
      <c r="D845" s="21">
        <v>0.03</v>
      </c>
      <c r="E845" s="21">
        <v>5670.0</v>
      </c>
      <c r="F845" s="33">
        <f t="shared" si="46"/>
        <v>170</v>
      </c>
    </row>
    <row r="846" ht="13.5" customHeight="1">
      <c r="A846" s="21" t="s">
        <v>99</v>
      </c>
      <c r="B846" s="21"/>
      <c r="C846" s="21"/>
      <c r="D846" s="21"/>
      <c r="E846" s="21"/>
      <c r="F846" s="33">
        <f>IFERROR(D846*E846,0)</f>
        <v>0</v>
      </c>
    </row>
    <row r="847" ht="13.5" customHeight="1">
      <c r="D847" s="7"/>
      <c r="E847" s="14" t="s">
        <v>37</v>
      </c>
      <c r="F847" s="46">
        <f>SUM(F843:F846)</f>
        <v>3820</v>
      </c>
    </row>
    <row r="848" ht="13.5" customHeight="1">
      <c r="D848" s="7"/>
      <c r="E848" s="9"/>
      <c r="F848" s="9"/>
    </row>
    <row r="849" ht="13.5" customHeight="1">
      <c r="A849" s="14" t="s">
        <v>44</v>
      </c>
      <c r="D849" s="7"/>
      <c r="E849" s="9"/>
      <c r="F849" s="9"/>
    </row>
    <row r="850" ht="13.5" customHeight="1">
      <c r="A850" s="18" t="s">
        <v>15</v>
      </c>
      <c r="B850" s="18" t="s">
        <v>17</v>
      </c>
      <c r="C850" s="18" t="s">
        <v>18</v>
      </c>
      <c r="D850" s="18" t="s">
        <v>19</v>
      </c>
      <c r="E850" s="18" t="s">
        <v>20</v>
      </c>
      <c r="F850" s="18" t="s">
        <v>21</v>
      </c>
    </row>
    <row r="851" ht="13.5" customHeight="1">
      <c r="A851" s="21" t="s">
        <v>22</v>
      </c>
      <c r="B851" s="21" t="s">
        <v>345</v>
      </c>
      <c r="C851" s="21" t="s">
        <v>51</v>
      </c>
      <c r="D851" s="187">
        <f>ROUND(1.2/B837,2)</f>
        <v>0.03</v>
      </c>
      <c r="E851" s="21">
        <v>65000.0</v>
      </c>
      <c r="F851" s="33">
        <f t="shared" ref="F851:F852" si="47">ROUND(IFERROR(D851*E851,0),0)</f>
        <v>1950</v>
      </c>
    </row>
    <row r="852" ht="13.5" customHeight="1">
      <c r="A852" s="21" t="s">
        <v>27</v>
      </c>
      <c r="B852" s="21" t="s">
        <v>54</v>
      </c>
      <c r="C852" s="21" t="s">
        <v>51</v>
      </c>
      <c r="D852" s="187">
        <f>ROUND(1.2/B837,2)</f>
        <v>0.03</v>
      </c>
      <c r="E852" s="21">
        <v>50000.0</v>
      </c>
      <c r="F852" s="33">
        <f t="shared" si="47"/>
        <v>1500</v>
      </c>
    </row>
    <row r="853" ht="13.5" customHeight="1">
      <c r="D853" s="7"/>
      <c r="E853" s="14" t="s">
        <v>37</v>
      </c>
      <c r="F853" s="46">
        <f>SUM(F851:F852)</f>
        <v>3450</v>
      </c>
    </row>
    <row r="854" ht="13.5" customHeight="1">
      <c r="D854" s="7"/>
      <c r="E854" s="14" t="s">
        <v>59</v>
      </c>
      <c r="F854" s="46">
        <f>ROUND(F853*0.5,0)</f>
        <v>1725</v>
      </c>
    </row>
    <row r="855" ht="13.5" customHeight="1">
      <c r="D855" s="7"/>
      <c r="E855" s="14" t="s">
        <v>60</v>
      </c>
      <c r="F855" s="46">
        <f>F853+F854</f>
        <v>5175</v>
      </c>
    </row>
    <row r="856" ht="13.5" customHeight="1">
      <c r="D856" s="7"/>
      <c r="E856" s="9"/>
      <c r="F856" s="9"/>
    </row>
    <row r="857" ht="13.5" customHeight="1">
      <c r="A857" s="14" t="s">
        <v>62</v>
      </c>
      <c r="D857" s="7"/>
      <c r="E857" s="9"/>
      <c r="F857" s="9"/>
    </row>
    <row r="858" ht="13.5" customHeight="1">
      <c r="A858" s="18" t="s">
        <v>15</v>
      </c>
      <c r="B858" s="18" t="s">
        <v>17</v>
      </c>
      <c r="C858" s="18" t="s">
        <v>18</v>
      </c>
      <c r="D858" s="18" t="s">
        <v>19</v>
      </c>
      <c r="E858" s="18" t="s">
        <v>20</v>
      </c>
      <c r="F858" s="18" t="s">
        <v>21</v>
      </c>
    </row>
    <row r="859" ht="13.5" customHeight="1">
      <c r="A859" s="21" t="s">
        <v>22</v>
      </c>
      <c r="B859" s="21" t="s">
        <v>394</v>
      </c>
      <c r="C859" s="21" t="s">
        <v>51</v>
      </c>
      <c r="D859" s="144">
        <f>ROUND(0.6/B837,2)</f>
        <v>0.01</v>
      </c>
      <c r="E859" s="21">
        <v>45000.0</v>
      </c>
      <c r="F859" s="33">
        <f>ROUND(IFERROR(D859*E859,0),0)</f>
        <v>450</v>
      </c>
    </row>
    <row r="860" ht="13.5" customHeight="1">
      <c r="A860" s="21"/>
      <c r="B860" s="21"/>
      <c r="C860" s="21"/>
      <c r="D860" s="144"/>
      <c r="E860" s="21"/>
      <c r="F860" s="33"/>
    </row>
    <row r="861" ht="13.5" customHeight="1">
      <c r="D861" s="7"/>
      <c r="E861" s="14" t="s">
        <v>37</v>
      </c>
      <c r="F861" s="46">
        <f>SUM(F859:F860)</f>
        <v>450</v>
      </c>
    </row>
    <row r="862" ht="13.5" customHeight="1">
      <c r="D862" s="7"/>
      <c r="E862" s="9"/>
      <c r="F862" s="9"/>
    </row>
    <row r="863" ht="13.5" customHeight="1">
      <c r="A863" s="14" t="s">
        <v>74</v>
      </c>
      <c r="D863" s="7"/>
      <c r="E863" s="9"/>
      <c r="F863" s="9"/>
    </row>
    <row r="864" ht="13.5" customHeight="1">
      <c r="A864" s="18"/>
      <c r="B864" s="18" t="s">
        <v>17</v>
      </c>
      <c r="C864" s="18" t="s">
        <v>18</v>
      </c>
      <c r="D864" s="18" t="s">
        <v>19</v>
      </c>
      <c r="E864" s="18" t="s">
        <v>20</v>
      </c>
      <c r="F864" s="18" t="s">
        <v>21</v>
      </c>
    </row>
    <row r="865" ht="13.5" customHeight="1">
      <c r="D865" s="7"/>
      <c r="E865" s="14" t="s">
        <v>77</v>
      </c>
      <c r="F865" s="46">
        <f>F847+F855+F861</f>
        <v>9445</v>
      </c>
    </row>
    <row r="866" ht="13.5" customHeight="1">
      <c r="D866" s="7"/>
      <c r="E866" s="14" t="s">
        <v>6</v>
      </c>
      <c r="F866" s="46">
        <f>ROUND(F865*F838,0)</f>
        <v>1417</v>
      </c>
    </row>
    <row r="867" ht="13.5" customHeight="1">
      <c r="D867" s="7"/>
      <c r="E867" s="14" t="s">
        <v>8</v>
      </c>
      <c r="F867" s="46">
        <f>ROUND(F865*F839,0)</f>
        <v>1889</v>
      </c>
    </row>
    <row r="868" ht="13.5" customHeight="1">
      <c r="D868" s="7"/>
      <c r="E868" s="14" t="s">
        <v>81</v>
      </c>
      <c r="F868" s="46">
        <f>F865+F866+F867</f>
        <v>12751</v>
      </c>
    </row>
    <row r="869" ht="13.5" customHeight="1">
      <c r="D869" s="7"/>
      <c r="E869" s="14" t="s">
        <v>82</v>
      </c>
      <c r="F869" s="46">
        <f>ROUND(F868*F840,0)</f>
        <v>2423</v>
      </c>
    </row>
    <row r="870" ht="13.5" customHeight="1">
      <c r="D870" s="14" t="s">
        <v>83</v>
      </c>
      <c r="E870" s="18" t="s">
        <v>84</v>
      </c>
      <c r="F870" s="53">
        <f>F868+F869</f>
        <v>15174</v>
      </c>
    </row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>
      <c r="A881" s="3" t="s">
        <v>1</v>
      </c>
      <c r="B881" s="5">
        <v>20.0</v>
      </c>
      <c r="C881" s="3" t="s">
        <v>2</v>
      </c>
      <c r="D881" s="7"/>
      <c r="E881" s="3" t="s">
        <v>3</v>
      </c>
      <c r="F881" s="9"/>
    </row>
    <row r="882" ht="13.5" customHeight="1">
      <c r="A882" s="3" t="s">
        <v>4</v>
      </c>
      <c r="B882" s="5" t="s">
        <v>30</v>
      </c>
      <c r="D882" s="7"/>
      <c r="E882" s="3" t="s">
        <v>6</v>
      </c>
      <c r="F882" s="10">
        <v>0.15</v>
      </c>
    </row>
    <row r="883" ht="13.5" customHeight="1">
      <c r="D883" s="7"/>
      <c r="E883" s="3" t="s">
        <v>8</v>
      </c>
      <c r="F883" s="10">
        <v>0.2</v>
      </c>
    </row>
    <row r="884" ht="13.5" customHeight="1">
      <c r="B884" s="5" t="s">
        <v>442</v>
      </c>
      <c r="D884" s="7"/>
      <c r="E884" s="3" t="s">
        <v>10</v>
      </c>
      <c r="F884" s="10">
        <v>0.19</v>
      </c>
    </row>
    <row r="885" ht="13.5" customHeight="1">
      <c r="A885" s="14" t="s">
        <v>11</v>
      </c>
      <c r="D885" s="7"/>
      <c r="E885" s="9"/>
      <c r="F885" s="9"/>
    </row>
    <row r="886" ht="13.5" customHeight="1">
      <c r="A886" s="18" t="s">
        <v>15</v>
      </c>
      <c r="B886" s="18" t="s">
        <v>17</v>
      </c>
      <c r="C886" s="18" t="s">
        <v>18</v>
      </c>
      <c r="D886" s="18" t="s">
        <v>19</v>
      </c>
      <c r="E886" s="18" t="s">
        <v>20</v>
      </c>
      <c r="F886" s="18" t="s">
        <v>21</v>
      </c>
    </row>
    <row r="887" ht="13.5" customHeight="1">
      <c r="A887" s="21" t="s">
        <v>22</v>
      </c>
      <c r="B887" s="21" t="s">
        <v>443</v>
      </c>
      <c r="C887" s="21" t="s">
        <v>34</v>
      </c>
      <c r="D887" s="21">
        <v>1.0</v>
      </c>
      <c r="E887" s="21">
        <v>1500.0</v>
      </c>
      <c r="F887" s="33">
        <f>ROUND(IFERROR(D887*E887,0),0)</f>
        <v>1500</v>
      </c>
    </row>
    <row r="888" ht="13.5" customHeight="1">
      <c r="A888" s="21" t="s">
        <v>27</v>
      </c>
      <c r="B888" s="21"/>
      <c r="C888" s="21"/>
      <c r="D888" s="21"/>
      <c r="E888" s="21"/>
      <c r="F888" s="33">
        <f t="shared" ref="F888:F890" si="48">IFERROR(D888*E888,0)</f>
        <v>0</v>
      </c>
    </row>
    <row r="889" ht="13.5" customHeight="1">
      <c r="A889" s="21" t="s">
        <v>32</v>
      </c>
      <c r="B889" s="21"/>
      <c r="C889" s="21"/>
      <c r="D889" s="21"/>
      <c r="E889" s="21"/>
      <c r="F889" s="33">
        <f t="shared" si="48"/>
        <v>0</v>
      </c>
    </row>
    <row r="890" ht="13.5" customHeight="1">
      <c r="A890" s="21" t="s">
        <v>99</v>
      </c>
      <c r="B890" s="21"/>
      <c r="C890" s="21"/>
      <c r="D890" s="21"/>
      <c r="E890" s="21"/>
      <c r="F890" s="33">
        <f t="shared" si="48"/>
        <v>0</v>
      </c>
    </row>
    <row r="891" ht="13.5" customHeight="1">
      <c r="D891" s="7"/>
      <c r="E891" s="14" t="s">
        <v>37</v>
      </c>
      <c r="F891" s="46">
        <f>SUM(F887:F890)</f>
        <v>1500</v>
      </c>
    </row>
    <row r="892" ht="13.5" customHeight="1">
      <c r="D892" s="7"/>
      <c r="E892" s="9"/>
      <c r="F892" s="9"/>
    </row>
    <row r="893" ht="13.5" customHeight="1">
      <c r="A893" s="14" t="s">
        <v>44</v>
      </c>
      <c r="D893" s="7"/>
      <c r="E893" s="9"/>
      <c r="F893" s="9"/>
    </row>
    <row r="894" ht="13.5" customHeight="1">
      <c r="A894" s="18" t="s">
        <v>15</v>
      </c>
      <c r="B894" s="18" t="s">
        <v>17</v>
      </c>
      <c r="C894" s="18" t="s">
        <v>18</v>
      </c>
      <c r="D894" s="18" t="s">
        <v>19</v>
      </c>
      <c r="E894" s="18" t="s">
        <v>20</v>
      </c>
      <c r="F894" s="18" t="s">
        <v>21</v>
      </c>
    </row>
    <row r="895" ht="13.5" customHeight="1">
      <c r="A895" s="21" t="s">
        <v>22</v>
      </c>
      <c r="B895" s="21" t="s">
        <v>444</v>
      </c>
      <c r="C895" s="21" t="s">
        <v>51</v>
      </c>
      <c r="D895" s="187">
        <v>0.04</v>
      </c>
      <c r="E895" s="21">
        <v>65000.0</v>
      </c>
      <c r="F895" s="33">
        <f t="shared" ref="F895:F896" si="49">ROUND(IFERROR(D895*E895,0),0)</f>
        <v>2600</v>
      </c>
    </row>
    <row r="896" ht="13.5" customHeight="1">
      <c r="A896" s="21" t="s">
        <v>27</v>
      </c>
      <c r="B896" s="21" t="s">
        <v>54</v>
      </c>
      <c r="C896" s="21" t="s">
        <v>51</v>
      </c>
      <c r="D896" s="187">
        <v>0.02</v>
      </c>
      <c r="E896" s="21">
        <v>50000.0</v>
      </c>
      <c r="F896" s="33">
        <f t="shared" si="49"/>
        <v>1000</v>
      </c>
    </row>
    <row r="897" ht="13.5" customHeight="1">
      <c r="D897" s="7"/>
      <c r="E897" s="14" t="s">
        <v>37</v>
      </c>
      <c r="F897" s="46">
        <f>SUM(F895:F896)</f>
        <v>3600</v>
      </c>
    </row>
    <row r="898" ht="13.5" customHeight="1">
      <c r="D898" s="7"/>
      <c r="E898" s="14" t="s">
        <v>59</v>
      </c>
      <c r="F898" s="46">
        <f>ROUND(F897*0.5,0)</f>
        <v>1800</v>
      </c>
    </row>
    <row r="899" ht="13.5" customHeight="1">
      <c r="D899" s="7"/>
      <c r="E899" s="14" t="s">
        <v>60</v>
      </c>
      <c r="F899" s="46">
        <f>F897+F898</f>
        <v>5400</v>
      </c>
    </row>
    <row r="900" ht="13.5" customHeight="1">
      <c r="D900" s="7"/>
      <c r="E900" s="9"/>
      <c r="F900" s="9"/>
    </row>
    <row r="901" ht="13.5" customHeight="1">
      <c r="A901" s="14" t="s">
        <v>62</v>
      </c>
      <c r="D901" s="7"/>
      <c r="E901" s="9"/>
      <c r="F901" s="9"/>
    </row>
    <row r="902" ht="13.5" customHeight="1">
      <c r="A902" s="18" t="s">
        <v>15</v>
      </c>
      <c r="B902" s="18" t="s">
        <v>17</v>
      </c>
      <c r="C902" s="18" t="s">
        <v>18</v>
      </c>
      <c r="D902" s="18" t="s">
        <v>19</v>
      </c>
      <c r="E902" s="18" t="s">
        <v>20</v>
      </c>
      <c r="F902" s="18" t="s">
        <v>21</v>
      </c>
    </row>
    <row r="903" ht="13.5" customHeight="1">
      <c r="A903" s="21" t="s">
        <v>22</v>
      </c>
      <c r="B903" s="21" t="s">
        <v>394</v>
      </c>
      <c r="C903" s="21" t="s">
        <v>51</v>
      </c>
      <c r="D903" s="144">
        <f>ROUND(0.1/B881,2)</f>
        <v>0.01</v>
      </c>
      <c r="E903" s="21">
        <v>45000.0</v>
      </c>
      <c r="F903" s="33">
        <f>ROUND(IFERROR(D903*E903,0),0)</f>
        <v>450</v>
      </c>
    </row>
    <row r="904" ht="13.5" customHeight="1">
      <c r="A904" s="21"/>
      <c r="B904" s="21"/>
      <c r="C904" s="21"/>
      <c r="D904" s="144"/>
      <c r="E904" s="21"/>
      <c r="F904" s="33"/>
    </row>
    <row r="905" ht="13.5" customHeight="1">
      <c r="D905" s="7"/>
      <c r="E905" s="14" t="s">
        <v>37</v>
      </c>
      <c r="F905" s="46">
        <f>SUM(F903:F904)</f>
        <v>450</v>
      </c>
    </row>
    <row r="906" ht="13.5" customHeight="1">
      <c r="D906" s="7"/>
      <c r="E906" s="9"/>
      <c r="F906" s="9"/>
    </row>
    <row r="907" ht="13.5" customHeight="1">
      <c r="A907" s="14" t="s">
        <v>74</v>
      </c>
      <c r="D907" s="7"/>
      <c r="E907" s="9"/>
      <c r="F907" s="9"/>
    </row>
    <row r="908" ht="13.5" customHeight="1">
      <c r="A908" s="18"/>
      <c r="B908" s="18" t="s">
        <v>17</v>
      </c>
      <c r="C908" s="18" t="s">
        <v>18</v>
      </c>
      <c r="D908" s="18" t="s">
        <v>19</v>
      </c>
      <c r="E908" s="18" t="s">
        <v>20</v>
      </c>
      <c r="F908" s="18" t="s">
        <v>21</v>
      </c>
    </row>
    <row r="909" ht="13.5" customHeight="1">
      <c r="D909" s="7"/>
      <c r="E909" s="14" t="s">
        <v>77</v>
      </c>
      <c r="F909" s="46">
        <f>F891+F899+F905</f>
        <v>7350</v>
      </c>
    </row>
    <row r="910" ht="13.5" customHeight="1">
      <c r="D910" s="7"/>
      <c r="E910" s="14" t="s">
        <v>6</v>
      </c>
      <c r="F910" s="46">
        <f>ROUND(F909*F882,0)</f>
        <v>1103</v>
      </c>
    </row>
    <row r="911" ht="13.5" customHeight="1">
      <c r="D911" s="7"/>
      <c r="E911" s="14" t="s">
        <v>8</v>
      </c>
      <c r="F911" s="46">
        <f>ROUND(F909*F883,0)</f>
        <v>1470</v>
      </c>
    </row>
    <row r="912" ht="13.5" customHeight="1">
      <c r="D912" s="7"/>
      <c r="E912" s="14" t="s">
        <v>81</v>
      </c>
      <c r="F912" s="46">
        <f>F909+F910+F911</f>
        <v>9923</v>
      </c>
    </row>
    <row r="913" ht="13.5" customHeight="1">
      <c r="D913" s="7"/>
      <c r="E913" s="14" t="s">
        <v>82</v>
      </c>
      <c r="F913" s="46">
        <f>ROUND(F912*F884,0)</f>
        <v>1885</v>
      </c>
    </row>
    <row r="914" ht="13.5" customHeight="1">
      <c r="D914" s="14" t="s">
        <v>425</v>
      </c>
      <c r="E914" s="18" t="s">
        <v>84</v>
      </c>
      <c r="F914" s="53">
        <f>F912+F913</f>
        <v>11808</v>
      </c>
    </row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>
      <c r="A925" s="3" t="s">
        <v>1</v>
      </c>
      <c r="B925" s="5">
        <v>35.0</v>
      </c>
      <c r="C925" s="3" t="s">
        <v>2</v>
      </c>
      <c r="D925" s="7"/>
      <c r="E925" s="3" t="s">
        <v>3</v>
      </c>
      <c r="F925" s="9"/>
    </row>
    <row r="926" ht="13.5" customHeight="1">
      <c r="A926" s="3" t="s">
        <v>4</v>
      </c>
      <c r="B926" s="5" t="s">
        <v>125</v>
      </c>
      <c r="D926" s="7"/>
      <c r="E926" s="3" t="s">
        <v>6</v>
      </c>
      <c r="F926" s="10">
        <v>0.15</v>
      </c>
    </row>
    <row r="927" ht="13.5" customHeight="1">
      <c r="D927" s="7"/>
      <c r="E927" s="3" t="s">
        <v>8</v>
      </c>
      <c r="F927" s="10">
        <v>0.2</v>
      </c>
    </row>
    <row r="928" ht="13.5" customHeight="1">
      <c r="B928" s="5" t="s">
        <v>445</v>
      </c>
      <c r="D928" s="7"/>
      <c r="E928" s="3" t="s">
        <v>10</v>
      </c>
      <c r="F928" s="10">
        <v>0.19</v>
      </c>
    </row>
    <row r="929" ht="13.5" customHeight="1">
      <c r="A929" s="14" t="s">
        <v>11</v>
      </c>
      <c r="D929" s="7"/>
      <c r="E929" s="9"/>
      <c r="F929" s="9"/>
    </row>
    <row r="930" ht="13.5" customHeight="1">
      <c r="A930" s="18" t="s">
        <v>15</v>
      </c>
      <c r="B930" s="18" t="s">
        <v>17</v>
      </c>
      <c r="C930" s="18" t="s">
        <v>18</v>
      </c>
      <c r="D930" s="18" t="s">
        <v>19</v>
      </c>
      <c r="E930" s="18" t="s">
        <v>20</v>
      </c>
      <c r="F930" s="18" t="s">
        <v>21</v>
      </c>
    </row>
    <row r="931" ht="13.5" customHeight="1">
      <c r="A931" s="21" t="s">
        <v>22</v>
      </c>
      <c r="B931" s="21" t="s">
        <v>446</v>
      </c>
      <c r="C931" s="21" t="s">
        <v>5</v>
      </c>
      <c r="D931" s="21">
        <v>1.0</v>
      </c>
      <c r="E931" s="21">
        <v>11500.0</v>
      </c>
      <c r="F931" s="33">
        <f t="shared" ref="F931:F933" si="50">ROUND(IFERROR(D931*E931,0),0)</f>
        <v>11500</v>
      </c>
    </row>
    <row r="932" ht="13.5" customHeight="1">
      <c r="A932" s="21" t="s">
        <v>27</v>
      </c>
      <c r="B932" s="21" t="s">
        <v>447</v>
      </c>
      <c r="C932" s="21" t="s">
        <v>5</v>
      </c>
      <c r="D932" s="21">
        <v>0.5</v>
      </c>
      <c r="E932" s="21">
        <v>1588.0</v>
      </c>
      <c r="F932" s="33">
        <f t="shared" si="50"/>
        <v>794</v>
      </c>
    </row>
    <row r="933" ht="13.5" customHeight="1">
      <c r="A933" s="21" t="s">
        <v>32</v>
      </c>
      <c r="B933" s="21" t="s">
        <v>448</v>
      </c>
      <c r="C933" s="21" t="s">
        <v>439</v>
      </c>
      <c r="D933" s="21">
        <v>0.05</v>
      </c>
      <c r="E933" s="21">
        <v>5874.0</v>
      </c>
      <c r="F933" s="33">
        <f t="shared" si="50"/>
        <v>294</v>
      </c>
    </row>
    <row r="934" ht="13.5" customHeight="1">
      <c r="A934" s="21" t="s">
        <v>99</v>
      </c>
      <c r="B934" s="21"/>
      <c r="C934" s="21"/>
      <c r="D934" s="21"/>
      <c r="E934" s="21"/>
      <c r="F934" s="33">
        <f>IFERROR(D934*E934,0)</f>
        <v>0</v>
      </c>
    </row>
    <row r="935" ht="13.5" customHeight="1">
      <c r="D935" s="7"/>
      <c r="E935" s="14" t="s">
        <v>37</v>
      </c>
      <c r="F935" s="46">
        <f>SUM(F931:F934)</f>
        <v>12588</v>
      </c>
    </row>
    <row r="936" ht="13.5" customHeight="1">
      <c r="D936" s="7"/>
      <c r="E936" s="9"/>
      <c r="F936" s="9"/>
    </row>
    <row r="937" ht="13.5" customHeight="1">
      <c r="A937" s="14" t="s">
        <v>44</v>
      </c>
      <c r="D937" s="7"/>
      <c r="E937" s="9"/>
      <c r="F937" s="9"/>
    </row>
    <row r="938" ht="13.5" customHeight="1">
      <c r="A938" s="18" t="s">
        <v>15</v>
      </c>
      <c r="B938" s="18" t="s">
        <v>17</v>
      </c>
      <c r="C938" s="18" t="s">
        <v>18</v>
      </c>
      <c r="D938" s="18" t="s">
        <v>19</v>
      </c>
      <c r="E938" s="18" t="s">
        <v>20</v>
      </c>
      <c r="F938" s="18" t="s">
        <v>21</v>
      </c>
    </row>
    <row r="939" ht="13.5" customHeight="1">
      <c r="A939" s="21" t="s">
        <v>22</v>
      </c>
      <c r="B939" s="21" t="s">
        <v>345</v>
      </c>
      <c r="C939" s="21" t="s">
        <v>51</v>
      </c>
      <c r="D939" s="187">
        <f>ROUND(1/B925,2)</f>
        <v>0.03</v>
      </c>
      <c r="E939" s="21">
        <v>65000.0</v>
      </c>
      <c r="F939" s="33">
        <f t="shared" ref="F939:F940" si="51">ROUND(IFERROR(D939*E939,0),0)</f>
        <v>1950</v>
      </c>
    </row>
    <row r="940" ht="13.5" customHeight="1">
      <c r="A940" s="21" t="s">
        <v>27</v>
      </c>
      <c r="B940" s="21" t="s">
        <v>54</v>
      </c>
      <c r="C940" s="21" t="s">
        <v>51</v>
      </c>
      <c r="D940" s="187">
        <f>ROUND(1/B925,2)</f>
        <v>0.03</v>
      </c>
      <c r="E940" s="21">
        <v>50000.0</v>
      </c>
      <c r="F940" s="33">
        <f t="shared" si="51"/>
        <v>1500</v>
      </c>
    </row>
    <row r="941" ht="13.5" customHeight="1">
      <c r="D941" s="7"/>
      <c r="E941" s="14" t="s">
        <v>37</v>
      </c>
      <c r="F941" s="46">
        <f>SUM(F939:F940)</f>
        <v>3450</v>
      </c>
    </row>
    <row r="942" ht="13.5" customHeight="1">
      <c r="D942" s="7"/>
      <c r="E942" s="14" t="s">
        <v>59</v>
      </c>
      <c r="F942" s="46">
        <f>F941*0.5</f>
        <v>1725</v>
      </c>
    </row>
    <row r="943" ht="13.5" customHeight="1">
      <c r="D943" s="7"/>
      <c r="E943" s="14" t="s">
        <v>60</v>
      </c>
      <c r="F943" s="46">
        <f>F941+F942</f>
        <v>5175</v>
      </c>
    </row>
    <row r="944" ht="13.5" customHeight="1">
      <c r="D944" s="7"/>
      <c r="E944" s="9"/>
      <c r="F944" s="9"/>
    </row>
    <row r="945" ht="13.5" customHeight="1">
      <c r="A945" s="14" t="s">
        <v>62</v>
      </c>
      <c r="D945" s="7"/>
      <c r="E945" s="9"/>
      <c r="F945" s="9"/>
    </row>
    <row r="946" ht="13.5" customHeight="1">
      <c r="A946" s="18" t="s">
        <v>15</v>
      </c>
      <c r="B946" s="18" t="s">
        <v>17</v>
      </c>
      <c r="C946" s="18" t="s">
        <v>18</v>
      </c>
      <c r="D946" s="18" t="s">
        <v>19</v>
      </c>
      <c r="E946" s="18" t="s">
        <v>20</v>
      </c>
      <c r="F946" s="18" t="s">
        <v>21</v>
      </c>
    </row>
    <row r="947" ht="13.5" customHeight="1">
      <c r="A947" s="21" t="s">
        <v>22</v>
      </c>
      <c r="B947" s="21" t="s">
        <v>394</v>
      </c>
      <c r="C947" s="21" t="s">
        <v>51</v>
      </c>
      <c r="D947" s="144">
        <v>0.01</v>
      </c>
      <c r="E947" s="21">
        <v>45000.0</v>
      </c>
      <c r="F947" s="33">
        <f>ROUND(IFERROR(D947*E947,0),0)</f>
        <v>450</v>
      </c>
    </row>
    <row r="948" ht="13.5" customHeight="1">
      <c r="A948" s="21"/>
      <c r="B948" s="21"/>
      <c r="C948" s="21"/>
      <c r="D948" s="144"/>
      <c r="E948" s="21"/>
      <c r="F948" s="33"/>
    </row>
    <row r="949" ht="13.5" customHeight="1">
      <c r="D949" s="7"/>
      <c r="E949" s="14" t="s">
        <v>37</v>
      </c>
      <c r="F949" s="46">
        <f>SUM(F947:F948)</f>
        <v>450</v>
      </c>
    </row>
    <row r="950" ht="13.5" customHeight="1">
      <c r="D950" s="7"/>
      <c r="E950" s="9"/>
      <c r="F950" s="9"/>
    </row>
    <row r="951" ht="13.5" customHeight="1">
      <c r="A951" s="14" t="s">
        <v>74</v>
      </c>
      <c r="D951" s="7"/>
      <c r="E951" s="9"/>
      <c r="F951" s="9"/>
    </row>
    <row r="952" ht="13.5" customHeight="1">
      <c r="A952" s="18"/>
      <c r="B952" s="18" t="s">
        <v>17</v>
      </c>
      <c r="C952" s="18" t="s">
        <v>18</v>
      </c>
      <c r="D952" s="18" t="s">
        <v>19</v>
      </c>
      <c r="E952" s="18" t="s">
        <v>20</v>
      </c>
      <c r="F952" s="18" t="s">
        <v>21</v>
      </c>
    </row>
    <row r="953" ht="13.5" customHeight="1">
      <c r="D953" s="7"/>
      <c r="E953" s="14" t="s">
        <v>77</v>
      </c>
      <c r="F953" s="46">
        <f>F935+F943+F949</f>
        <v>18213</v>
      </c>
    </row>
    <row r="954" ht="13.5" customHeight="1">
      <c r="D954" s="7"/>
      <c r="E954" s="14" t="s">
        <v>6</v>
      </c>
      <c r="F954" s="46">
        <f>ROUND(F953*F926,0)</f>
        <v>2732</v>
      </c>
    </row>
    <row r="955" ht="13.5" customHeight="1">
      <c r="D955" s="7"/>
      <c r="E955" s="14" t="s">
        <v>8</v>
      </c>
      <c r="F955" s="46">
        <f>ROUND(F953*F927,0)</f>
        <v>3643</v>
      </c>
    </row>
    <row r="956" ht="13.5" customHeight="1">
      <c r="D956" s="7"/>
      <c r="E956" s="14" t="s">
        <v>81</v>
      </c>
      <c r="F956" s="46">
        <f>F953+F954+F955</f>
        <v>24588</v>
      </c>
    </row>
    <row r="957" ht="13.5" customHeight="1">
      <c r="D957" s="7"/>
      <c r="E957" s="14" t="s">
        <v>82</v>
      </c>
      <c r="F957" s="46">
        <f>ROUND(F956*F928,0)</f>
        <v>4672</v>
      </c>
    </row>
    <row r="958" ht="13.5" customHeight="1">
      <c r="D958" s="14" t="s">
        <v>83</v>
      </c>
      <c r="E958" s="18" t="s">
        <v>84</v>
      </c>
      <c r="F958" s="53">
        <f>F956+F957</f>
        <v>29260</v>
      </c>
    </row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>
      <c r="A969" s="3" t="s">
        <v>1</v>
      </c>
      <c r="B969" s="5">
        <v>20.0</v>
      </c>
      <c r="C969" s="3" t="s">
        <v>2</v>
      </c>
      <c r="D969" s="7"/>
      <c r="E969" s="3" t="s">
        <v>3</v>
      </c>
      <c r="F969" s="9"/>
    </row>
    <row r="970" ht="13.5" customHeight="1">
      <c r="A970" s="3" t="s">
        <v>4</v>
      </c>
      <c r="B970" s="5" t="s">
        <v>125</v>
      </c>
      <c r="D970" s="7"/>
      <c r="E970" s="3" t="s">
        <v>6</v>
      </c>
      <c r="F970" s="10">
        <v>0.15</v>
      </c>
    </row>
    <row r="971" ht="13.5" customHeight="1">
      <c r="D971" s="7"/>
      <c r="E971" s="3" t="s">
        <v>8</v>
      </c>
      <c r="F971" s="10">
        <v>0.2</v>
      </c>
    </row>
    <row r="972" ht="13.5" customHeight="1">
      <c r="B972" s="5" t="s">
        <v>449</v>
      </c>
      <c r="D972" s="7"/>
      <c r="E972" s="3" t="s">
        <v>10</v>
      </c>
      <c r="F972" s="10">
        <v>0.19</v>
      </c>
    </row>
    <row r="973" ht="13.5" customHeight="1">
      <c r="A973" s="14" t="s">
        <v>11</v>
      </c>
      <c r="D973" s="7"/>
      <c r="E973" s="9"/>
      <c r="F973" s="9"/>
    </row>
    <row r="974" ht="13.5" customHeight="1">
      <c r="A974" s="18" t="s">
        <v>15</v>
      </c>
      <c r="B974" s="18" t="s">
        <v>17</v>
      </c>
      <c r="C974" s="18" t="s">
        <v>18</v>
      </c>
      <c r="D974" s="18" t="s">
        <v>19</v>
      </c>
      <c r="E974" s="18" t="s">
        <v>20</v>
      </c>
      <c r="F974" s="18" t="s">
        <v>21</v>
      </c>
    </row>
    <row r="975" ht="13.5" customHeight="1">
      <c r="A975" s="21" t="s">
        <v>22</v>
      </c>
      <c r="B975" s="21" t="s">
        <v>450</v>
      </c>
      <c r="C975" s="21" t="s">
        <v>383</v>
      </c>
      <c r="D975" s="21">
        <v>14.0</v>
      </c>
      <c r="E975" s="21">
        <v>250.0</v>
      </c>
      <c r="F975" s="33">
        <f t="shared" ref="F975:F977" si="52">ROUND(IFERROR(D975*E975,0),0)</f>
        <v>3500</v>
      </c>
    </row>
    <row r="976" ht="13.5" customHeight="1">
      <c r="A976" s="21" t="s">
        <v>27</v>
      </c>
      <c r="B976" s="21" t="s">
        <v>451</v>
      </c>
      <c r="C976" s="21" t="s">
        <v>439</v>
      </c>
      <c r="D976" s="21">
        <v>0.02</v>
      </c>
      <c r="E976" s="21">
        <v>5034.0</v>
      </c>
      <c r="F976" s="33">
        <f t="shared" si="52"/>
        <v>101</v>
      </c>
    </row>
    <row r="977" ht="13.5" customHeight="1">
      <c r="A977" s="21" t="s">
        <v>32</v>
      </c>
      <c r="B977" s="21" t="s">
        <v>452</v>
      </c>
      <c r="C977" s="21" t="s">
        <v>34</v>
      </c>
      <c r="D977" s="21">
        <v>1.0</v>
      </c>
      <c r="E977" s="21">
        <v>1200.0</v>
      </c>
      <c r="F977" s="33">
        <f t="shared" si="52"/>
        <v>1200</v>
      </c>
    </row>
    <row r="978" ht="13.5" customHeight="1">
      <c r="A978" s="21" t="s">
        <v>99</v>
      </c>
      <c r="B978" s="21"/>
      <c r="C978" s="21"/>
      <c r="D978" s="21"/>
      <c r="E978" s="21"/>
      <c r="F978" s="33">
        <f>IFERROR(D978*E978,0)</f>
        <v>0</v>
      </c>
    </row>
    <row r="979" ht="13.5" customHeight="1">
      <c r="D979" s="7"/>
      <c r="E979" s="14" t="s">
        <v>37</v>
      </c>
      <c r="F979" s="46">
        <f>SUM(F975:F978)</f>
        <v>4801</v>
      </c>
    </row>
    <row r="980" ht="13.5" customHeight="1">
      <c r="D980" s="7"/>
      <c r="E980" s="9"/>
      <c r="F980" s="9"/>
    </row>
    <row r="981" ht="13.5" customHeight="1">
      <c r="A981" s="14" t="s">
        <v>44</v>
      </c>
      <c r="D981" s="7"/>
      <c r="E981" s="9"/>
      <c r="F981" s="9"/>
    </row>
    <row r="982" ht="13.5" customHeight="1">
      <c r="A982" s="18" t="s">
        <v>15</v>
      </c>
      <c r="B982" s="18" t="s">
        <v>17</v>
      </c>
      <c r="C982" s="18" t="s">
        <v>18</v>
      </c>
      <c r="D982" s="18" t="s">
        <v>19</v>
      </c>
      <c r="E982" s="18" t="s">
        <v>20</v>
      </c>
      <c r="F982" s="18" t="s">
        <v>21</v>
      </c>
    </row>
    <row r="983" ht="13.5" customHeight="1">
      <c r="A983" s="21" t="s">
        <v>22</v>
      </c>
      <c r="B983" s="21" t="s">
        <v>345</v>
      </c>
      <c r="C983" s="21" t="s">
        <v>51</v>
      </c>
      <c r="D983" s="187">
        <f>1/B969</f>
        <v>0.05</v>
      </c>
      <c r="E983" s="21">
        <v>65000.0</v>
      </c>
      <c r="F983" s="33">
        <f t="shared" ref="F983:F984" si="53">ROUND(IFERROR(D983*E983,0),0)</f>
        <v>3250</v>
      </c>
    </row>
    <row r="984" ht="13.5" customHeight="1">
      <c r="A984" s="21" t="s">
        <v>27</v>
      </c>
      <c r="B984" s="21" t="s">
        <v>54</v>
      </c>
      <c r="C984" s="21" t="s">
        <v>51</v>
      </c>
      <c r="D984" s="187">
        <f>ROUND(1/B969,2)</f>
        <v>0.05</v>
      </c>
      <c r="E984" s="21">
        <v>50000.0</v>
      </c>
      <c r="F984" s="33">
        <f t="shared" si="53"/>
        <v>2500</v>
      </c>
    </row>
    <row r="985" ht="13.5" customHeight="1">
      <c r="D985" s="7"/>
      <c r="E985" s="14" t="s">
        <v>37</v>
      </c>
      <c r="F985" s="46">
        <f>SUM(F983:F984)</f>
        <v>5750</v>
      </c>
    </row>
    <row r="986" ht="13.5" customHeight="1">
      <c r="D986" s="7"/>
      <c r="E986" s="14" t="s">
        <v>59</v>
      </c>
      <c r="F986" s="46">
        <f>ROUND(F985*0.5,0)</f>
        <v>2875</v>
      </c>
    </row>
    <row r="987" ht="13.5" customHeight="1">
      <c r="D987" s="7"/>
      <c r="E987" s="14" t="s">
        <v>60</v>
      </c>
      <c r="F987" s="46">
        <f>F985+F986</f>
        <v>8625</v>
      </c>
    </row>
    <row r="988" ht="13.5" customHeight="1">
      <c r="D988" s="7"/>
      <c r="E988" s="9"/>
      <c r="F988" s="9"/>
    </row>
    <row r="989" ht="13.5" customHeight="1">
      <c r="A989" s="14" t="s">
        <v>62</v>
      </c>
      <c r="D989" s="7"/>
      <c r="E989" s="9"/>
      <c r="F989" s="9"/>
    </row>
    <row r="990" ht="13.5" customHeight="1">
      <c r="A990" s="18" t="s">
        <v>15</v>
      </c>
      <c r="B990" s="18" t="s">
        <v>17</v>
      </c>
      <c r="C990" s="18" t="s">
        <v>18</v>
      </c>
      <c r="D990" s="18" t="s">
        <v>19</v>
      </c>
      <c r="E990" s="18" t="s">
        <v>20</v>
      </c>
      <c r="F990" s="18" t="s">
        <v>21</v>
      </c>
    </row>
    <row r="991" ht="13.5" customHeight="1">
      <c r="A991" s="21" t="s">
        <v>22</v>
      </c>
      <c r="B991" s="21" t="s">
        <v>394</v>
      </c>
      <c r="C991" s="21" t="s">
        <v>51</v>
      </c>
      <c r="D991" s="144">
        <f>ROUND(2/B969,2)</f>
        <v>0.1</v>
      </c>
      <c r="E991" s="21">
        <v>45000.0</v>
      </c>
      <c r="F991" s="33">
        <f>ROUND(IFERROR(D991*E991,0),0)</f>
        <v>4500</v>
      </c>
    </row>
    <row r="992" ht="13.5" customHeight="1">
      <c r="A992" s="21"/>
      <c r="B992" s="21"/>
      <c r="C992" s="21"/>
      <c r="D992" s="144"/>
      <c r="E992" s="21"/>
      <c r="F992" s="33"/>
    </row>
    <row r="993" ht="13.5" customHeight="1">
      <c r="D993" s="7"/>
      <c r="E993" s="14" t="s">
        <v>37</v>
      </c>
      <c r="F993" s="46">
        <f>SUM(F991:F992)</f>
        <v>4500</v>
      </c>
    </row>
    <row r="994" ht="13.5" customHeight="1">
      <c r="D994" s="7"/>
      <c r="E994" s="9"/>
      <c r="F994" s="9"/>
    </row>
    <row r="995" ht="13.5" customHeight="1">
      <c r="A995" s="14" t="s">
        <v>74</v>
      </c>
      <c r="D995" s="7"/>
      <c r="E995" s="9"/>
      <c r="F995" s="9"/>
    </row>
    <row r="996" ht="13.5" customHeight="1">
      <c r="A996" s="18"/>
      <c r="B996" s="18" t="s">
        <v>17</v>
      </c>
      <c r="C996" s="18" t="s">
        <v>18</v>
      </c>
      <c r="D996" s="18" t="s">
        <v>19</v>
      </c>
      <c r="E996" s="18" t="s">
        <v>20</v>
      </c>
      <c r="F996" s="18" t="s">
        <v>21</v>
      </c>
    </row>
    <row r="997" ht="13.5" customHeight="1">
      <c r="D997" s="7"/>
      <c r="E997" s="14" t="s">
        <v>77</v>
      </c>
      <c r="F997" s="46">
        <f>F979+F987+F993</f>
        <v>17926</v>
      </c>
    </row>
    <row r="998" ht="13.5" customHeight="1">
      <c r="D998" s="7"/>
      <c r="E998" s="14" t="s">
        <v>6</v>
      </c>
      <c r="F998" s="46">
        <f>ROUND(F997*F970,0)</f>
        <v>2689</v>
      </c>
    </row>
    <row r="999" ht="13.5" customHeight="1">
      <c r="D999" s="7"/>
      <c r="E999" s="14" t="s">
        <v>8</v>
      </c>
      <c r="F999" s="46">
        <f>ROUND(F997*F971,0)</f>
        <v>3585</v>
      </c>
    </row>
    <row r="1000" ht="13.5" customHeight="1">
      <c r="D1000" s="7"/>
      <c r="E1000" s="14" t="s">
        <v>81</v>
      </c>
      <c r="F1000" s="46">
        <f>F997+F998+F999</f>
        <v>24200</v>
      </c>
    </row>
    <row r="1001" ht="13.5" customHeight="1">
      <c r="D1001" s="7"/>
      <c r="E1001" s="14" t="s">
        <v>82</v>
      </c>
      <c r="F1001" s="46">
        <f>ROUND(F1000*F972,0)</f>
        <v>4598</v>
      </c>
    </row>
    <row r="1002" ht="13.5" customHeight="1">
      <c r="D1002" s="14" t="s">
        <v>83</v>
      </c>
      <c r="E1002" s="18" t="s">
        <v>84</v>
      </c>
      <c r="F1002" s="53">
        <f>F1000+F1001</f>
        <v>28798</v>
      </c>
    </row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>
      <c r="A1013" s="3" t="s">
        <v>1</v>
      </c>
      <c r="B1013" s="5">
        <v>25.0</v>
      </c>
      <c r="C1013" s="3" t="s">
        <v>2</v>
      </c>
      <c r="D1013" s="7"/>
      <c r="E1013" s="3" t="s">
        <v>3</v>
      </c>
      <c r="F1013" s="9"/>
    </row>
    <row r="1014" ht="13.5" customHeight="1">
      <c r="A1014" s="3" t="s">
        <v>4</v>
      </c>
      <c r="B1014" s="5" t="s">
        <v>125</v>
      </c>
      <c r="D1014" s="7"/>
      <c r="E1014" s="3" t="s">
        <v>6</v>
      </c>
      <c r="F1014" s="10">
        <v>0.15</v>
      </c>
    </row>
    <row r="1015" ht="13.5" customHeight="1">
      <c r="D1015" s="7"/>
      <c r="E1015" s="3" t="s">
        <v>8</v>
      </c>
      <c r="F1015" s="10">
        <v>0.2</v>
      </c>
    </row>
    <row r="1016" ht="13.5" customHeight="1">
      <c r="B1016" s="5" t="s">
        <v>453</v>
      </c>
      <c r="D1016" s="7"/>
      <c r="E1016" s="3" t="s">
        <v>10</v>
      </c>
      <c r="F1016" s="10">
        <v>0.19</v>
      </c>
    </row>
    <row r="1017" ht="13.5" customHeight="1">
      <c r="A1017" s="14" t="s">
        <v>11</v>
      </c>
      <c r="D1017" s="7"/>
      <c r="E1017" s="9"/>
      <c r="F1017" s="9"/>
    </row>
    <row r="1018" ht="13.5" customHeight="1">
      <c r="A1018" s="18" t="s">
        <v>15</v>
      </c>
      <c r="B1018" s="18" t="s">
        <v>17</v>
      </c>
      <c r="C1018" s="18" t="s">
        <v>18</v>
      </c>
      <c r="D1018" s="18" t="s">
        <v>19</v>
      </c>
      <c r="E1018" s="18" t="s">
        <v>20</v>
      </c>
      <c r="F1018" s="18" t="s">
        <v>21</v>
      </c>
    </row>
    <row r="1019" ht="13.5" customHeight="1">
      <c r="A1019" s="21" t="s">
        <v>22</v>
      </c>
      <c r="B1019" s="21" t="s">
        <v>454</v>
      </c>
      <c r="C1019" s="21" t="s">
        <v>439</v>
      </c>
      <c r="D1019" s="21">
        <v>0.36</v>
      </c>
      <c r="E1019" s="21">
        <v>8500.0</v>
      </c>
      <c r="F1019" s="33">
        <f t="shared" ref="F1019:F1021" si="54">ROUND(IFERROR(D1019*E1019,0),0)</f>
        <v>3060</v>
      </c>
    </row>
    <row r="1020" ht="13.5" customHeight="1">
      <c r="A1020" s="21" t="s">
        <v>27</v>
      </c>
      <c r="B1020" s="21" t="s">
        <v>455</v>
      </c>
      <c r="C1020" s="21" t="s">
        <v>439</v>
      </c>
      <c r="D1020" s="21">
        <v>0.08</v>
      </c>
      <c r="E1020" s="21">
        <v>3096.0</v>
      </c>
      <c r="F1020" s="33">
        <f t="shared" si="54"/>
        <v>248</v>
      </c>
    </row>
    <row r="1021" ht="13.5" customHeight="1">
      <c r="A1021" s="21" t="s">
        <v>32</v>
      </c>
      <c r="B1021" s="21" t="s">
        <v>456</v>
      </c>
      <c r="C1021" s="21" t="s">
        <v>34</v>
      </c>
      <c r="D1021" s="21">
        <v>1.0</v>
      </c>
      <c r="E1021" s="21">
        <v>1200.0</v>
      </c>
      <c r="F1021" s="33">
        <f t="shared" si="54"/>
        <v>1200</v>
      </c>
    </row>
    <row r="1022" ht="13.5" customHeight="1">
      <c r="A1022" s="21" t="s">
        <v>99</v>
      </c>
      <c r="B1022" s="21"/>
      <c r="C1022" s="21"/>
      <c r="D1022" s="21"/>
      <c r="E1022" s="21"/>
      <c r="F1022" s="33">
        <f>IFERROR(D1022*E1022,0)</f>
        <v>0</v>
      </c>
    </row>
    <row r="1023" ht="13.5" customHeight="1">
      <c r="D1023" s="7"/>
      <c r="E1023" s="14" t="s">
        <v>37</v>
      </c>
      <c r="F1023" s="46">
        <f>SUM(F1019:F1022)</f>
        <v>4508</v>
      </c>
    </row>
    <row r="1024" ht="13.5" customHeight="1">
      <c r="D1024" s="7"/>
      <c r="E1024" s="9"/>
      <c r="F1024" s="9"/>
    </row>
    <row r="1025" ht="13.5" customHeight="1">
      <c r="A1025" s="14" t="s">
        <v>44</v>
      </c>
      <c r="D1025" s="7"/>
      <c r="E1025" s="9"/>
      <c r="F1025" s="9"/>
    </row>
    <row r="1026" ht="13.5" customHeight="1">
      <c r="A1026" s="18" t="s">
        <v>15</v>
      </c>
      <c r="B1026" s="18" t="s">
        <v>17</v>
      </c>
      <c r="C1026" s="18" t="s">
        <v>18</v>
      </c>
      <c r="D1026" s="18" t="s">
        <v>19</v>
      </c>
      <c r="E1026" s="18" t="s">
        <v>20</v>
      </c>
      <c r="F1026" s="18" t="s">
        <v>21</v>
      </c>
    </row>
    <row r="1027" ht="13.5" customHeight="1">
      <c r="A1027" s="21" t="s">
        <v>22</v>
      </c>
      <c r="B1027" s="21" t="s">
        <v>345</v>
      </c>
      <c r="C1027" s="21" t="s">
        <v>51</v>
      </c>
      <c r="D1027" s="187">
        <f>ROUND(1/B1013,2)</f>
        <v>0.04</v>
      </c>
      <c r="E1027" s="21">
        <v>65000.0</v>
      </c>
      <c r="F1027" s="33">
        <f t="shared" ref="F1027:F1028" si="55">ROUND(IFERROR(D1027*E1027,0),0)</f>
        <v>2600</v>
      </c>
    </row>
    <row r="1028" ht="13.5" customHeight="1">
      <c r="A1028" s="21" t="s">
        <v>27</v>
      </c>
      <c r="B1028" s="21" t="s">
        <v>54</v>
      </c>
      <c r="C1028" s="21" t="s">
        <v>51</v>
      </c>
      <c r="D1028" s="187">
        <f>ROUND(1/B1013,2)</f>
        <v>0.04</v>
      </c>
      <c r="E1028" s="21">
        <v>50000.0</v>
      </c>
      <c r="F1028" s="33">
        <f t="shared" si="55"/>
        <v>2000</v>
      </c>
    </row>
    <row r="1029" ht="13.5" customHeight="1">
      <c r="D1029" s="7"/>
      <c r="E1029" s="14" t="s">
        <v>37</v>
      </c>
      <c r="F1029" s="46">
        <f>SUM(F1027:F1028)</f>
        <v>4600</v>
      </c>
    </row>
    <row r="1030" ht="13.5" customHeight="1">
      <c r="D1030" s="7"/>
      <c r="E1030" s="14" t="s">
        <v>59</v>
      </c>
      <c r="F1030" s="46">
        <f>ROUND(F1029*0.5,0)</f>
        <v>2300</v>
      </c>
    </row>
    <row r="1031" ht="13.5" customHeight="1">
      <c r="D1031" s="7"/>
      <c r="E1031" s="14" t="s">
        <v>60</v>
      </c>
      <c r="F1031" s="46">
        <f>F1029+F1030</f>
        <v>6900</v>
      </c>
    </row>
    <row r="1032" ht="13.5" customHeight="1">
      <c r="D1032" s="7"/>
      <c r="E1032" s="9"/>
      <c r="F1032" s="9"/>
    </row>
    <row r="1033" ht="13.5" customHeight="1">
      <c r="A1033" s="14" t="s">
        <v>62</v>
      </c>
      <c r="D1033" s="7"/>
      <c r="E1033" s="9"/>
      <c r="F1033" s="9"/>
    </row>
    <row r="1034" ht="13.5" customHeight="1">
      <c r="A1034" s="18" t="s">
        <v>15</v>
      </c>
      <c r="B1034" s="18" t="s">
        <v>17</v>
      </c>
      <c r="C1034" s="18" t="s">
        <v>18</v>
      </c>
      <c r="D1034" s="18" t="s">
        <v>19</v>
      </c>
      <c r="E1034" s="18" t="s">
        <v>20</v>
      </c>
      <c r="F1034" s="18" t="s">
        <v>21</v>
      </c>
    </row>
    <row r="1035" ht="13.5" customHeight="1">
      <c r="A1035" s="21" t="s">
        <v>22</v>
      </c>
      <c r="B1035" s="21" t="s">
        <v>394</v>
      </c>
      <c r="C1035" s="21" t="s">
        <v>51</v>
      </c>
      <c r="D1035" s="144">
        <v>0.04</v>
      </c>
      <c r="E1035" s="21">
        <v>45000.0</v>
      </c>
      <c r="F1035" s="33">
        <f>ROUND(IFERROR(D1035*E1035,0),0)</f>
        <v>1800</v>
      </c>
    </row>
    <row r="1036" ht="13.5" customHeight="1">
      <c r="A1036" s="21"/>
      <c r="B1036" s="21"/>
      <c r="C1036" s="21"/>
      <c r="D1036" s="144"/>
      <c r="E1036" s="21"/>
      <c r="F1036" s="33"/>
    </row>
    <row r="1037" ht="13.5" customHeight="1">
      <c r="D1037" s="7"/>
      <c r="E1037" s="14" t="s">
        <v>37</v>
      </c>
      <c r="F1037" s="46">
        <f>SUM(F1035:F1036)</f>
        <v>1800</v>
      </c>
    </row>
    <row r="1038" ht="13.5" customHeight="1">
      <c r="D1038" s="7"/>
      <c r="E1038" s="9"/>
      <c r="F1038" s="9"/>
    </row>
    <row r="1039" ht="13.5" customHeight="1">
      <c r="A1039" s="14" t="s">
        <v>74</v>
      </c>
      <c r="D1039" s="7"/>
      <c r="E1039" s="9"/>
      <c r="F1039" s="9"/>
    </row>
    <row r="1040" ht="13.5" customHeight="1">
      <c r="A1040" s="18"/>
      <c r="B1040" s="18" t="s">
        <v>17</v>
      </c>
      <c r="C1040" s="18" t="s">
        <v>18</v>
      </c>
      <c r="D1040" s="18" t="s">
        <v>19</v>
      </c>
      <c r="E1040" s="18" t="s">
        <v>20</v>
      </c>
      <c r="F1040" s="18" t="s">
        <v>21</v>
      </c>
    </row>
    <row r="1041" ht="13.5" customHeight="1">
      <c r="D1041" s="7"/>
      <c r="E1041" s="14" t="s">
        <v>77</v>
      </c>
      <c r="F1041" s="46">
        <f>F1023+F1031+F1037</f>
        <v>13208</v>
      </c>
    </row>
    <row r="1042" ht="13.5" customHeight="1">
      <c r="D1042" s="7"/>
      <c r="E1042" s="14" t="s">
        <v>6</v>
      </c>
      <c r="F1042" s="46">
        <f>ROUND(F1041*F1014,0)</f>
        <v>1981</v>
      </c>
    </row>
    <row r="1043" ht="13.5" customHeight="1">
      <c r="D1043" s="7"/>
      <c r="E1043" s="14" t="s">
        <v>8</v>
      </c>
      <c r="F1043" s="46">
        <f>ROUND(F1041*F1015,0)</f>
        <v>2642</v>
      </c>
    </row>
    <row r="1044" ht="13.5" customHeight="1">
      <c r="D1044" s="7"/>
      <c r="E1044" s="14" t="s">
        <v>81</v>
      </c>
      <c r="F1044" s="46">
        <f>F1041+F1042+F1043</f>
        <v>17831</v>
      </c>
    </row>
    <row r="1045" ht="13.5" customHeight="1">
      <c r="D1045" s="7"/>
      <c r="E1045" s="14" t="s">
        <v>82</v>
      </c>
      <c r="F1045" s="46">
        <f>ROUND(F1044*F1016,0)</f>
        <v>3388</v>
      </c>
    </row>
    <row r="1046" ht="13.5" customHeight="1">
      <c r="D1046" s="14" t="s">
        <v>83</v>
      </c>
      <c r="E1046" s="18" t="s">
        <v>84</v>
      </c>
      <c r="F1046" s="53">
        <f>F1044+F1045</f>
        <v>21219</v>
      </c>
    </row>
    <row r="1047" ht="13.5" customHeight="1"/>
    <row r="1048" ht="13.5" customHeight="1"/>
    <row r="1049" ht="13.5" customHeight="1"/>
    <row r="1050" ht="13.5" customHeight="1"/>
    <row r="1051" ht="13.5" customHeight="1"/>
    <row r="1052" ht="13.5" customHeight="1"/>
    <row r="1053" ht="13.5" customHeight="1"/>
    <row r="1054" ht="13.5" customHeight="1"/>
    <row r="1055" ht="13.5" customHeight="1"/>
    <row r="1056" ht="13.5" customHeight="1"/>
    <row r="1057" ht="13.5" customHeight="1">
      <c r="A1057" s="3" t="s">
        <v>1</v>
      </c>
      <c r="B1057" s="5">
        <v>10.0</v>
      </c>
      <c r="C1057" s="3" t="s">
        <v>2</v>
      </c>
      <c r="D1057" s="7"/>
      <c r="E1057" s="3" t="s">
        <v>3</v>
      </c>
      <c r="F1057" s="9"/>
    </row>
    <row r="1058" ht="13.5" customHeight="1">
      <c r="A1058" s="3" t="s">
        <v>4</v>
      </c>
      <c r="B1058" s="5" t="s">
        <v>5</v>
      </c>
      <c r="D1058" s="7"/>
      <c r="E1058" s="3" t="s">
        <v>6</v>
      </c>
      <c r="F1058" s="10">
        <v>0.15</v>
      </c>
    </row>
    <row r="1059" ht="13.5" customHeight="1">
      <c r="D1059" s="7"/>
      <c r="E1059" s="3" t="s">
        <v>8</v>
      </c>
      <c r="F1059" s="10">
        <v>0.2</v>
      </c>
    </row>
    <row r="1060" ht="13.5" customHeight="1">
      <c r="A1060" s="212" t="s">
        <v>201</v>
      </c>
      <c r="B1060" s="5" t="s">
        <v>457</v>
      </c>
      <c r="D1060" s="7"/>
      <c r="E1060" s="3" t="s">
        <v>10</v>
      </c>
      <c r="F1060" s="10">
        <v>0.19</v>
      </c>
    </row>
    <row r="1061" ht="13.5" customHeight="1">
      <c r="A1061" s="14" t="s">
        <v>11</v>
      </c>
      <c r="D1061" s="7"/>
      <c r="E1061" s="9"/>
      <c r="F1061" s="9"/>
    </row>
    <row r="1062" ht="13.5" customHeight="1">
      <c r="A1062" s="18" t="s">
        <v>15</v>
      </c>
      <c r="B1062" s="18" t="s">
        <v>17</v>
      </c>
      <c r="C1062" s="18" t="s">
        <v>18</v>
      </c>
      <c r="D1062" s="18" t="s">
        <v>19</v>
      </c>
      <c r="E1062" s="18" t="s">
        <v>20</v>
      </c>
      <c r="F1062" s="18" t="s">
        <v>21</v>
      </c>
    </row>
    <row r="1063" ht="13.5" customHeight="1">
      <c r="A1063" s="21">
        <v>1.0</v>
      </c>
      <c r="B1063" s="21" t="s">
        <v>458</v>
      </c>
      <c r="C1063" s="21" t="s">
        <v>5</v>
      </c>
      <c r="D1063" s="21">
        <v>1.0</v>
      </c>
      <c r="E1063" s="21">
        <v>2550.0</v>
      </c>
      <c r="F1063" s="33">
        <f t="shared" ref="F1063:F1069" si="56">ROUND(IFERROR(D1063*E1063,0),0)</f>
        <v>2550</v>
      </c>
    </row>
    <row r="1064" ht="13.5" customHeight="1">
      <c r="A1064" s="21">
        <v>2.0</v>
      </c>
      <c r="B1064" s="21" t="s">
        <v>459</v>
      </c>
      <c r="C1064" s="21" t="s">
        <v>171</v>
      </c>
      <c r="D1064" s="21">
        <v>2.5</v>
      </c>
      <c r="E1064" s="21">
        <v>529.0</v>
      </c>
      <c r="F1064" s="33">
        <f t="shared" si="56"/>
        <v>1323</v>
      </c>
    </row>
    <row r="1065" ht="13.5" customHeight="1">
      <c r="A1065" s="21">
        <v>3.0</v>
      </c>
      <c r="B1065" s="21" t="s">
        <v>460</v>
      </c>
      <c r="C1065" s="21" t="s">
        <v>171</v>
      </c>
      <c r="D1065" s="21">
        <v>0.2</v>
      </c>
      <c r="E1065" s="21">
        <v>417.0</v>
      </c>
      <c r="F1065" s="33">
        <f t="shared" si="56"/>
        <v>83</v>
      </c>
    </row>
    <row r="1066" ht="13.5" customHeight="1">
      <c r="A1066" s="21">
        <v>4.0</v>
      </c>
      <c r="B1066" s="21" t="s">
        <v>461</v>
      </c>
      <c r="C1066" s="21" t="s">
        <v>30</v>
      </c>
      <c r="D1066" s="21">
        <v>20.0</v>
      </c>
      <c r="E1066" s="21">
        <v>8.0</v>
      </c>
      <c r="F1066" s="33">
        <f t="shared" si="56"/>
        <v>160</v>
      </c>
    </row>
    <row r="1067" ht="13.5" customHeight="1">
      <c r="A1067" s="21">
        <v>5.0</v>
      </c>
      <c r="B1067" s="21" t="s">
        <v>462</v>
      </c>
      <c r="C1067" s="21" t="s">
        <v>171</v>
      </c>
      <c r="D1067" s="21">
        <v>1.0</v>
      </c>
      <c r="E1067" s="21">
        <v>53.0</v>
      </c>
      <c r="F1067" s="33">
        <f t="shared" si="56"/>
        <v>53</v>
      </c>
    </row>
    <row r="1068" ht="13.5" customHeight="1">
      <c r="A1068" s="21">
        <v>6.0</v>
      </c>
      <c r="B1068" s="21" t="s">
        <v>463</v>
      </c>
      <c r="C1068" s="21" t="s">
        <v>383</v>
      </c>
      <c r="D1068" s="21">
        <v>0.35</v>
      </c>
      <c r="E1068" s="21">
        <v>924.0</v>
      </c>
      <c r="F1068" s="33">
        <f t="shared" si="56"/>
        <v>323</v>
      </c>
    </row>
    <row r="1069" ht="13.5" customHeight="1">
      <c r="A1069" s="21">
        <v>7.0</v>
      </c>
      <c r="B1069" s="21" t="s">
        <v>464</v>
      </c>
      <c r="C1069" s="21" t="s">
        <v>34</v>
      </c>
      <c r="D1069" s="21">
        <v>1.0</v>
      </c>
      <c r="E1069" s="21">
        <v>800.0</v>
      </c>
      <c r="F1069" s="33">
        <f t="shared" si="56"/>
        <v>800</v>
      </c>
    </row>
    <row r="1070" ht="13.5" customHeight="1">
      <c r="A1070" s="21"/>
      <c r="B1070" s="21"/>
      <c r="C1070" s="21"/>
      <c r="D1070" s="21"/>
      <c r="E1070" s="21"/>
      <c r="F1070" s="33"/>
    </row>
    <row r="1071" ht="13.5" customHeight="1">
      <c r="D1071" s="7"/>
      <c r="E1071" s="14" t="s">
        <v>37</v>
      </c>
      <c r="F1071" s="46">
        <f>SUM(F1063:F1070)</f>
        <v>5292</v>
      </c>
    </row>
    <row r="1072" ht="13.5" customHeight="1">
      <c r="D1072" s="7"/>
      <c r="E1072" s="9"/>
      <c r="F1072" s="9"/>
    </row>
    <row r="1073" ht="13.5" customHeight="1">
      <c r="A1073" s="14" t="s">
        <v>44</v>
      </c>
      <c r="D1073" s="7"/>
      <c r="E1073" s="9"/>
      <c r="F1073" s="9"/>
    </row>
    <row r="1074" ht="13.5" customHeight="1">
      <c r="A1074" s="18" t="s">
        <v>15</v>
      </c>
      <c r="B1074" s="18" t="s">
        <v>17</v>
      </c>
      <c r="C1074" s="18" t="s">
        <v>18</v>
      </c>
      <c r="D1074" s="18" t="s">
        <v>19</v>
      </c>
      <c r="E1074" s="18" t="s">
        <v>20</v>
      </c>
      <c r="F1074" s="18" t="s">
        <v>21</v>
      </c>
    </row>
    <row r="1075" ht="13.5" customHeight="1">
      <c r="A1075" s="21" t="s">
        <v>22</v>
      </c>
      <c r="B1075" s="21" t="s">
        <v>345</v>
      </c>
      <c r="C1075" s="21" t="s">
        <v>51</v>
      </c>
      <c r="D1075" s="187">
        <v>0.08</v>
      </c>
      <c r="E1075" s="21">
        <v>65000.0</v>
      </c>
      <c r="F1075" s="33">
        <f t="shared" ref="F1075:F1076" si="57">ROUND(IFERROR(D1075*E1075,0),0)</f>
        <v>5200</v>
      </c>
    </row>
    <row r="1076" ht="13.5" customHeight="1">
      <c r="A1076" s="21" t="s">
        <v>27</v>
      </c>
      <c r="B1076" s="21" t="s">
        <v>54</v>
      </c>
      <c r="C1076" s="21" t="s">
        <v>51</v>
      </c>
      <c r="D1076" s="187">
        <v>0.08</v>
      </c>
      <c r="E1076" s="21">
        <v>50000.0</v>
      </c>
      <c r="F1076" s="33">
        <f t="shared" si="57"/>
        <v>4000</v>
      </c>
    </row>
    <row r="1077" ht="13.5" customHeight="1">
      <c r="D1077" s="7"/>
      <c r="E1077" s="14" t="s">
        <v>37</v>
      </c>
      <c r="F1077" s="46">
        <f>SUM(F1075:F1076)</f>
        <v>9200</v>
      </c>
    </row>
    <row r="1078" ht="13.5" customHeight="1">
      <c r="D1078" s="7"/>
      <c r="E1078" s="14" t="s">
        <v>59</v>
      </c>
      <c r="F1078" s="46">
        <f>ROUND(F1077*0.5,0)</f>
        <v>4600</v>
      </c>
    </row>
    <row r="1079" ht="13.5" customHeight="1">
      <c r="D1079" s="7"/>
      <c r="E1079" s="14" t="s">
        <v>60</v>
      </c>
      <c r="F1079" s="46">
        <f>F1077+F1078</f>
        <v>13800</v>
      </c>
    </row>
    <row r="1080" ht="13.5" customHeight="1">
      <c r="D1080" s="7"/>
      <c r="E1080" s="9"/>
      <c r="F1080" s="9"/>
    </row>
    <row r="1081" ht="13.5" customHeight="1">
      <c r="A1081" s="14" t="s">
        <v>62</v>
      </c>
      <c r="D1081" s="7"/>
      <c r="E1081" s="9"/>
      <c r="F1081" s="9"/>
    </row>
    <row r="1082" ht="13.5" customHeight="1">
      <c r="A1082" s="18" t="s">
        <v>15</v>
      </c>
      <c r="B1082" s="18" t="s">
        <v>17</v>
      </c>
      <c r="C1082" s="18" t="s">
        <v>18</v>
      </c>
      <c r="D1082" s="18" t="s">
        <v>19</v>
      </c>
      <c r="E1082" s="18" t="s">
        <v>20</v>
      </c>
      <c r="F1082" s="18" t="s">
        <v>21</v>
      </c>
    </row>
    <row r="1083" ht="13.5" customHeight="1">
      <c r="A1083" s="21" t="s">
        <v>22</v>
      </c>
      <c r="B1083" s="21" t="s">
        <v>394</v>
      </c>
      <c r="C1083" s="21" t="s">
        <v>51</v>
      </c>
      <c r="D1083" s="144">
        <v>0.02</v>
      </c>
      <c r="E1083" s="21">
        <v>45000.0</v>
      </c>
      <c r="F1083" s="33">
        <f>ROUND(IFERROR(D1083*E1083,0),0)</f>
        <v>900</v>
      </c>
    </row>
    <row r="1084" ht="13.5" customHeight="1">
      <c r="A1084" s="21"/>
      <c r="B1084" s="21"/>
      <c r="C1084" s="21"/>
      <c r="D1084" s="144"/>
      <c r="E1084" s="21"/>
      <c r="F1084" s="279"/>
    </row>
    <row r="1085" ht="13.5" customHeight="1">
      <c r="D1085" s="7"/>
      <c r="E1085" s="14" t="s">
        <v>37</v>
      </c>
      <c r="F1085" s="46">
        <f>SUM(F1083:F1084)</f>
        <v>900</v>
      </c>
    </row>
    <row r="1086" ht="13.5" customHeight="1">
      <c r="D1086" s="7"/>
      <c r="E1086" s="9"/>
      <c r="F1086" s="9"/>
    </row>
    <row r="1087" ht="13.5" customHeight="1">
      <c r="A1087" s="14" t="s">
        <v>74</v>
      </c>
      <c r="D1087" s="7"/>
      <c r="E1087" s="9"/>
      <c r="F1087" s="9"/>
    </row>
    <row r="1088" ht="13.5" customHeight="1">
      <c r="A1088" s="18"/>
      <c r="B1088" s="18" t="s">
        <v>17</v>
      </c>
      <c r="C1088" s="18" t="s">
        <v>18</v>
      </c>
      <c r="D1088" s="18" t="s">
        <v>19</v>
      </c>
      <c r="E1088" s="18" t="s">
        <v>20</v>
      </c>
      <c r="F1088" s="18" t="s">
        <v>21</v>
      </c>
    </row>
    <row r="1089" ht="13.5" customHeight="1">
      <c r="D1089" s="7"/>
      <c r="E1089" s="14" t="s">
        <v>77</v>
      </c>
      <c r="F1089" s="46">
        <f>F1071+F1079+F1085</f>
        <v>19992</v>
      </c>
    </row>
    <row r="1090" ht="13.5" customHeight="1">
      <c r="D1090" s="7"/>
      <c r="E1090" s="14" t="s">
        <v>6</v>
      </c>
      <c r="F1090" s="46">
        <f>ROUND(F1089*F1058,0)</f>
        <v>2999</v>
      </c>
    </row>
    <row r="1091" ht="13.5" customHeight="1">
      <c r="D1091" s="7"/>
      <c r="E1091" s="14" t="s">
        <v>8</v>
      </c>
      <c r="F1091" s="46">
        <f>ROUND(F1089*F1059,0)</f>
        <v>3998</v>
      </c>
    </row>
    <row r="1092" ht="13.5" customHeight="1">
      <c r="D1092" s="7"/>
      <c r="E1092" s="14" t="s">
        <v>81</v>
      </c>
      <c r="F1092" s="46">
        <f>F1089+F1090+F1091</f>
        <v>26989</v>
      </c>
    </row>
    <row r="1093" ht="13.5" customHeight="1">
      <c r="D1093" s="7"/>
      <c r="E1093" s="14" t="s">
        <v>82</v>
      </c>
      <c r="F1093" s="46">
        <f>ROUND(F1092*F1060,0)</f>
        <v>5128</v>
      </c>
    </row>
    <row r="1094" ht="13.5" customHeight="1">
      <c r="D1094" s="14" t="s">
        <v>83</v>
      </c>
      <c r="E1094" s="18" t="s">
        <v>84</v>
      </c>
      <c r="F1094" s="53">
        <f>F1092+F1093</f>
        <v>32117</v>
      </c>
    </row>
    <row r="1095" ht="13.5" customHeight="1"/>
    <row r="1096" ht="13.5" customHeight="1"/>
    <row r="1097" ht="13.5" customHeight="1"/>
    <row r="1098" ht="13.5" customHeight="1"/>
    <row r="1099" ht="13.5" customHeight="1"/>
    <row r="1100" ht="13.5" customHeight="1"/>
    <row r="1101" ht="13.5" customHeight="1">
      <c r="A1101" s="3" t="s">
        <v>1</v>
      </c>
      <c r="B1101" s="5">
        <v>20.0</v>
      </c>
      <c r="C1101" s="3" t="s">
        <v>2</v>
      </c>
      <c r="D1101" s="7"/>
      <c r="E1101" s="3" t="s">
        <v>3</v>
      </c>
      <c r="F1101" s="9"/>
    </row>
    <row r="1102" ht="13.5" customHeight="1">
      <c r="A1102" s="3" t="s">
        <v>4</v>
      </c>
      <c r="B1102" s="5" t="s">
        <v>5</v>
      </c>
      <c r="D1102" s="7"/>
      <c r="E1102" s="3" t="s">
        <v>6</v>
      </c>
      <c r="F1102" s="10">
        <v>0.15</v>
      </c>
    </row>
    <row r="1103" ht="13.5" customHeight="1">
      <c r="D1103" s="7"/>
      <c r="E1103" s="3" t="s">
        <v>8</v>
      </c>
      <c r="F1103" s="10">
        <v>0.2</v>
      </c>
    </row>
    <row r="1104" ht="13.5" customHeight="1">
      <c r="B1104" s="5" t="s">
        <v>465</v>
      </c>
      <c r="D1104" s="7"/>
      <c r="E1104" s="3" t="s">
        <v>10</v>
      </c>
      <c r="F1104" s="10">
        <v>0.19</v>
      </c>
    </row>
    <row r="1105" ht="13.5" customHeight="1">
      <c r="A1105" s="14" t="s">
        <v>11</v>
      </c>
      <c r="D1105" s="7"/>
      <c r="E1105" s="9"/>
      <c r="F1105" s="9"/>
    </row>
    <row r="1106" ht="13.5" customHeight="1">
      <c r="A1106" s="18" t="s">
        <v>15</v>
      </c>
      <c r="B1106" s="18" t="s">
        <v>17</v>
      </c>
      <c r="C1106" s="18" t="s">
        <v>18</v>
      </c>
      <c r="D1106" s="18" t="s">
        <v>19</v>
      </c>
      <c r="E1106" s="18" t="s">
        <v>20</v>
      </c>
      <c r="F1106" s="18" t="s">
        <v>21</v>
      </c>
    </row>
    <row r="1107" ht="13.5" customHeight="1">
      <c r="A1107" s="21" t="s">
        <v>22</v>
      </c>
      <c r="B1107" s="21" t="s">
        <v>466</v>
      </c>
      <c r="C1107" s="21" t="s">
        <v>439</v>
      </c>
      <c r="D1107" s="21">
        <v>0.2</v>
      </c>
      <c r="E1107" s="21">
        <v>5500.0</v>
      </c>
      <c r="F1107" s="33">
        <f t="shared" ref="F1107:F1109" si="58">ROUND(IFERROR(D1107*E1107,0),0)</f>
        <v>1100</v>
      </c>
    </row>
    <row r="1108" ht="13.5" customHeight="1">
      <c r="A1108" s="21" t="s">
        <v>27</v>
      </c>
      <c r="B1108" s="21" t="s">
        <v>440</v>
      </c>
      <c r="C1108" s="21" t="s">
        <v>34</v>
      </c>
      <c r="D1108" s="21">
        <v>0.05</v>
      </c>
      <c r="E1108" s="21">
        <v>3096.0</v>
      </c>
      <c r="F1108" s="33">
        <f t="shared" si="58"/>
        <v>155</v>
      </c>
    </row>
    <row r="1109" ht="13.5" customHeight="1">
      <c r="A1109" s="21" t="s">
        <v>32</v>
      </c>
      <c r="B1109" s="21" t="s">
        <v>441</v>
      </c>
      <c r="C1109" s="21" t="s">
        <v>439</v>
      </c>
      <c r="D1109" s="21">
        <v>0.03</v>
      </c>
      <c r="E1109" s="21">
        <v>1200.0</v>
      </c>
      <c r="F1109" s="33">
        <f t="shared" si="58"/>
        <v>36</v>
      </c>
    </row>
    <row r="1110" ht="13.5" customHeight="1">
      <c r="A1110" s="21" t="s">
        <v>99</v>
      </c>
      <c r="B1110" s="21"/>
      <c r="C1110" s="21"/>
      <c r="D1110" s="21"/>
      <c r="E1110" s="21"/>
      <c r="F1110" s="33">
        <f>IFERROR(D1110*E1110,0)</f>
        <v>0</v>
      </c>
    </row>
    <row r="1111" ht="13.5" customHeight="1">
      <c r="D1111" s="7"/>
      <c r="E1111" s="14" t="s">
        <v>37</v>
      </c>
      <c r="F1111" s="46">
        <f>SUM(F1107:F1110)</f>
        <v>1291</v>
      </c>
    </row>
    <row r="1112" ht="13.5" customHeight="1">
      <c r="D1112" s="7"/>
      <c r="E1112" s="9"/>
      <c r="F1112" s="9"/>
    </row>
    <row r="1113" ht="13.5" customHeight="1">
      <c r="A1113" s="14" t="s">
        <v>44</v>
      </c>
      <c r="D1113" s="7"/>
      <c r="E1113" s="9"/>
      <c r="F1113" s="9"/>
    </row>
    <row r="1114" ht="13.5" customHeight="1">
      <c r="A1114" s="18" t="s">
        <v>15</v>
      </c>
      <c r="B1114" s="18" t="s">
        <v>17</v>
      </c>
      <c r="C1114" s="18" t="s">
        <v>18</v>
      </c>
      <c r="D1114" s="18" t="s">
        <v>19</v>
      </c>
      <c r="E1114" s="18" t="s">
        <v>20</v>
      </c>
      <c r="F1114" s="18" t="s">
        <v>21</v>
      </c>
    </row>
    <row r="1115" ht="13.5" customHeight="1">
      <c r="A1115" s="21" t="s">
        <v>22</v>
      </c>
      <c r="B1115" s="21" t="s">
        <v>345</v>
      </c>
      <c r="C1115" s="21" t="s">
        <v>51</v>
      </c>
      <c r="D1115" s="187">
        <f>ROUND(1/B1101,2)</f>
        <v>0.05</v>
      </c>
      <c r="E1115" s="21">
        <v>65000.0</v>
      </c>
      <c r="F1115" s="33">
        <f t="shared" ref="F1115:F1116" si="59">ROUND(IFERROR(D1115*E1115,0),0)</f>
        <v>3250</v>
      </c>
    </row>
    <row r="1116" ht="13.5" customHeight="1">
      <c r="A1116" s="21" t="s">
        <v>27</v>
      </c>
      <c r="B1116" s="21" t="s">
        <v>54</v>
      </c>
      <c r="C1116" s="21" t="s">
        <v>51</v>
      </c>
      <c r="D1116" s="187">
        <v>0.03</v>
      </c>
      <c r="E1116" s="21">
        <v>50000.0</v>
      </c>
      <c r="F1116" s="33">
        <f t="shared" si="59"/>
        <v>1500</v>
      </c>
    </row>
    <row r="1117" ht="13.5" customHeight="1">
      <c r="D1117" s="7"/>
      <c r="E1117" s="14" t="s">
        <v>37</v>
      </c>
      <c r="F1117" s="46">
        <f>SUM(F1115:F1116)</f>
        <v>4750</v>
      </c>
    </row>
    <row r="1118" ht="13.5" customHeight="1">
      <c r="D1118" s="7"/>
      <c r="E1118" s="14" t="s">
        <v>59</v>
      </c>
      <c r="F1118" s="46">
        <f>F1117*0.5</f>
        <v>2375</v>
      </c>
    </row>
    <row r="1119" ht="13.5" customHeight="1">
      <c r="D1119" s="7"/>
      <c r="E1119" s="14" t="s">
        <v>60</v>
      </c>
      <c r="F1119" s="46">
        <f>F1117+F1118</f>
        <v>7125</v>
      </c>
    </row>
    <row r="1120" ht="13.5" customHeight="1">
      <c r="D1120" s="7"/>
      <c r="E1120" s="9"/>
      <c r="F1120" s="9"/>
    </row>
    <row r="1121" ht="13.5" customHeight="1">
      <c r="A1121" s="14" t="s">
        <v>62</v>
      </c>
      <c r="D1121" s="7"/>
      <c r="E1121" s="9"/>
      <c r="F1121" s="9"/>
    </row>
    <row r="1122" ht="13.5" customHeight="1">
      <c r="A1122" s="18" t="s">
        <v>15</v>
      </c>
      <c r="B1122" s="18" t="s">
        <v>17</v>
      </c>
      <c r="C1122" s="18" t="s">
        <v>18</v>
      </c>
      <c r="D1122" s="18" t="s">
        <v>19</v>
      </c>
      <c r="E1122" s="18" t="s">
        <v>20</v>
      </c>
      <c r="F1122" s="18" t="s">
        <v>21</v>
      </c>
    </row>
    <row r="1123" ht="13.5" customHeight="1">
      <c r="A1123" s="21" t="s">
        <v>22</v>
      </c>
      <c r="B1123" s="21" t="s">
        <v>394</v>
      </c>
      <c r="C1123" s="21" t="s">
        <v>51</v>
      </c>
      <c r="D1123" s="144">
        <f>ROUND(1/B1101,2)</f>
        <v>0.05</v>
      </c>
      <c r="E1123" s="21">
        <v>45000.0</v>
      </c>
      <c r="F1123" s="33">
        <f>ROUND(IFERROR(D1123*E1123,0),0)</f>
        <v>2250</v>
      </c>
    </row>
    <row r="1124" ht="13.5" customHeight="1">
      <c r="A1124" s="21"/>
      <c r="B1124" s="21"/>
      <c r="C1124" s="21"/>
      <c r="D1124" s="144"/>
      <c r="E1124" s="21"/>
      <c r="F1124" s="33"/>
    </row>
    <row r="1125" ht="13.5" customHeight="1">
      <c r="D1125" s="7"/>
      <c r="E1125" s="14" t="s">
        <v>37</v>
      </c>
      <c r="F1125" s="46">
        <f>SUM(F1123:F1124)</f>
        <v>2250</v>
      </c>
    </row>
    <row r="1126" ht="13.5" customHeight="1">
      <c r="D1126" s="7"/>
      <c r="E1126" s="9"/>
      <c r="F1126" s="9"/>
    </row>
    <row r="1127" ht="13.5" customHeight="1">
      <c r="A1127" s="14" t="s">
        <v>74</v>
      </c>
      <c r="D1127" s="7"/>
      <c r="E1127" s="9"/>
      <c r="F1127" s="9"/>
    </row>
    <row r="1128" ht="13.5" customHeight="1">
      <c r="A1128" s="18"/>
      <c r="B1128" s="18" t="s">
        <v>17</v>
      </c>
      <c r="C1128" s="18" t="s">
        <v>18</v>
      </c>
      <c r="D1128" s="18" t="s">
        <v>19</v>
      </c>
      <c r="E1128" s="18" t="s">
        <v>20</v>
      </c>
      <c r="F1128" s="18" t="s">
        <v>21</v>
      </c>
    </row>
    <row r="1129" ht="13.5" customHeight="1">
      <c r="D1129" s="7"/>
      <c r="E1129" s="14" t="s">
        <v>77</v>
      </c>
      <c r="F1129" s="46">
        <f>F1111+F1119+F1125</f>
        <v>10666</v>
      </c>
    </row>
    <row r="1130" ht="13.5" customHeight="1">
      <c r="D1130" s="7"/>
      <c r="E1130" s="14" t="s">
        <v>6</v>
      </c>
      <c r="F1130" s="46">
        <f>ROUND(F1129*F1102,0)</f>
        <v>1600</v>
      </c>
    </row>
    <row r="1131" ht="13.5" customHeight="1">
      <c r="D1131" s="7"/>
      <c r="E1131" s="14" t="s">
        <v>8</v>
      </c>
      <c r="F1131" s="46">
        <f>ROUND(F1129*F1103,0)</f>
        <v>2133</v>
      </c>
    </row>
    <row r="1132" ht="13.5" customHeight="1">
      <c r="D1132" s="7"/>
      <c r="E1132" s="14" t="s">
        <v>81</v>
      </c>
      <c r="F1132" s="46">
        <f>F1129+F1130+F1131</f>
        <v>14399</v>
      </c>
    </row>
    <row r="1133" ht="13.5" customHeight="1">
      <c r="D1133" s="7"/>
      <c r="E1133" s="14" t="s">
        <v>82</v>
      </c>
      <c r="F1133" s="46">
        <f>ROUND(F1132*F1104,0)</f>
        <v>2736</v>
      </c>
    </row>
    <row r="1134" ht="13.5" customHeight="1">
      <c r="D1134" s="14" t="s">
        <v>83</v>
      </c>
      <c r="E1134" s="18" t="s">
        <v>84</v>
      </c>
      <c r="F1134" s="53">
        <f>F1132+F1133</f>
        <v>17135</v>
      </c>
    </row>
    <row r="1135" ht="13.5" customHeight="1"/>
    <row r="1136" ht="13.5" customHeight="1"/>
    <row r="1137" ht="13.5" customHeight="1"/>
    <row r="1138" ht="13.5" customHeight="1"/>
    <row r="1139" ht="13.5" customHeight="1"/>
    <row r="1140" ht="13.5" customHeight="1"/>
    <row r="1141" ht="13.5" customHeight="1"/>
    <row r="1142" ht="13.5" customHeight="1"/>
    <row r="1143" ht="13.5" customHeight="1"/>
    <row r="1144" ht="13.5" customHeight="1"/>
    <row r="1145" ht="13.5" customHeight="1">
      <c r="A1145" s="3" t="s">
        <v>1</v>
      </c>
      <c r="B1145" s="5">
        <v>20.0</v>
      </c>
      <c r="C1145" s="3" t="s">
        <v>2</v>
      </c>
      <c r="D1145" s="7"/>
      <c r="E1145" s="3" t="s">
        <v>3</v>
      </c>
      <c r="F1145" s="9"/>
    </row>
    <row r="1146" ht="13.5" customHeight="1">
      <c r="A1146" s="3" t="s">
        <v>4</v>
      </c>
      <c r="B1146" s="5" t="s">
        <v>5</v>
      </c>
      <c r="D1146" s="7"/>
      <c r="E1146" s="3" t="s">
        <v>6</v>
      </c>
      <c r="F1146" s="10">
        <v>0.15</v>
      </c>
    </row>
    <row r="1147" ht="13.5" customHeight="1">
      <c r="D1147" s="7"/>
      <c r="E1147" s="3" t="s">
        <v>8</v>
      </c>
      <c r="F1147" s="10">
        <v>0.2</v>
      </c>
    </row>
    <row r="1148" ht="13.5" customHeight="1">
      <c r="A1148" s="5" t="s">
        <v>467</v>
      </c>
      <c r="B1148" s="5" t="s">
        <v>468</v>
      </c>
      <c r="D1148" s="7"/>
      <c r="E1148" s="3" t="s">
        <v>10</v>
      </c>
      <c r="F1148" s="10">
        <v>0.19</v>
      </c>
    </row>
    <row r="1149" ht="13.5" customHeight="1">
      <c r="A1149" s="14" t="s">
        <v>11</v>
      </c>
      <c r="D1149" s="7"/>
      <c r="E1149" s="9"/>
      <c r="F1149" s="9"/>
    </row>
    <row r="1150" ht="13.5" customHeight="1">
      <c r="A1150" s="18" t="s">
        <v>15</v>
      </c>
      <c r="B1150" s="18" t="s">
        <v>17</v>
      </c>
      <c r="C1150" s="18" t="s">
        <v>18</v>
      </c>
      <c r="D1150" s="18" t="s">
        <v>19</v>
      </c>
      <c r="E1150" s="18" t="s">
        <v>20</v>
      </c>
      <c r="F1150" s="18" t="s">
        <v>21</v>
      </c>
    </row>
    <row r="1151" ht="13.5" customHeight="1">
      <c r="A1151" s="292">
        <v>1.0</v>
      </c>
      <c r="B1151" s="21" t="s">
        <v>469</v>
      </c>
      <c r="C1151" s="21" t="s">
        <v>5</v>
      </c>
      <c r="D1151" s="21">
        <v>1.0</v>
      </c>
      <c r="E1151" s="21">
        <v>12500.0</v>
      </c>
      <c r="F1151" s="33">
        <f t="shared" ref="F1151:F1155" si="60">ROUND(IFERROR(D1151*E1151,0),0)</f>
        <v>12500</v>
      </c>
    </row>
    <row r="1152" ht="13.5" customHeight="1">
      <c r="A1152" s="292">
        <v>2.0</v>
      </c>
      <c r="B1152" s="21" t="s">
        <v>470</v>
      </c>
      <c r="C1152" s="21" t="s">
        <v>171</v>
      </c>
      <c r="D1152" s="21">
        <f>+ROUND(1.667,2)</f>
        <v>1.67</v>
      </c>
      <c r="E1152" s="21">
        <v>529.0</v>
      </c>
      <c r="F1152" s="33">
        <f t="shared" si="60"/>
        <v>883</v>
      </c>
    </row>
    <row r="1153" ht="13.5" customHeight="1">
      <c r="A1153" s="292">
        <v>3.0</v>
      </c>
      <c r="B1153" s="21" t="s">
        <v>460</v>
      </c>
      <c r="C1153" s="21" t="s">
        <v>171</v>
      </c>
      <c r="D1153" s="21">
        <v>0.2</v>
      </c>
      <c r="E1153" s="21">
        <v>417.0</v>
      </c>
      <c r="F1153" s="33">
        <f t="shared" si="60"/>
        <v>83</v>
      </c>
    </row>
    <row r="1154" ht="13.5" customHeight="1">
      <c r="A1154" s="292">
        <v>4.0</v>
      </c>
      <c r="B1154" s="21" t="s">
        <v>471</v>
      </c>
      <c r="C1154" s="21" t="s">
        <v>30</v>
      </c>
      <c r="D1154" s="21">
        <v>10.0</v>
      </c>
      <c r="E1154" s="21">
        <v>8.0</v>
      </c>
      <c r="F1154" s="33">
        <f t="shared" si="60"/>
        <v>80</v>
      </c>
    </row>
    <row r="1155" ht="13.5" customHeight="1">
      <c r="A1155" s="292">
        <v>5.0</v>
      </c>
      <c r="B1155" s="21" t="s">
        <v>472</v>
      </c>
      <c r="C1155" s="21" t="s">
        <v>34</v>
      </c>
      <c r="D1155" s="21">
        <v>1.0</v>
      </c>
      <c r="E1155" s="21">
        <v>900.0</v>
      </c>
      <c r="F1155" s="33">
        <f t="shared" si="60"/>
        <v>900</v>
      </c>
    </row>
    <row r="1156" ht="13.5" customHeight="1">
      <c r="D1156" s="7"/>
      <c r="E1156" s="14" t="s">
        <v>37</v>
      </c>
      <c r="F1156" s="46">
        <f>SUM(F1151:F1155)</f>
        <v>14446</v>
      </c>
    </row>
    <row r="1157" ht="13.5" customHeight="1">
      <c r="D1157" s="7"/>
      <c r="E1157" s="9"/>
      <c r="F1157" s="9"/>
    </row>
    <row r="1158" ht="13.5" customHeight="1">
      <c r="A1158" s="14" t="s">
        <v>44</v>
      </c>
      <c r="D1158" s="7"/>
      <c r="E1158" s="9"/>
      <c r="F1158" s="9"/>
    </row>
    <row r="1159" ht="13.5" customHeight="1">
      <c r="A1159" s="18" t="s">
        <v>15</v>
      </c>
      <c r="B1159" s="18" t="s">
        <v>17</v>
      </c>
      <c r="C1159" s="18" t="s">
        <v>18</v>
      </c>
      <c r="D1159" s="18" t="s">
        <v>19</v>
      </c>
      <c r="E1159" s="18" t="s">
        <v>20</v>
      </c>
      <c r="F1159" s="18" t="s">
        <v>21</v>
      </c>
    </row>
    <row r="1160" ht="13.5" customHeight="1">
      <c r="A1160" s="21" t="s">
        <v>22</v>
      </c>
      <c r="B1160" s="21" t="s">
        <v>345</v>
      </c>
      <c r="C1160" s="21" t="s">
        <v>51</v>
      </c>
      <c r="D1160" s="187">
        <f>1/B1145</f>
        <v>0.05</v>
      </c>
      <c r="E1160" s="21">
        <v>65000.0</v>
      </c>
      <c r="F1160" s="33">
        <f t="shared" ref="F1160:F1161" si="61">ROUND(IFERROR(D1160*E1160,0),0)</f>
        <v>3250</v>
      </c>
    </row>
    <row r="1161" ht="13.5" customHeight="1">
      <c r="A1161" s="21" t="s">
        <v>27</v>
      </c>
      <c r="B1161" s="21" t="s">
        <v>54</v>
      </c>
      <c r="C1161" s="21" t="s">
        <v>51</v>
      </c>
      <c r="D1161" s="187">
        <f>1/B1145</f>
        <v>0.05</v>
      </c>
      <c r="E1161" s="21">
        <v>50000.0</v>
      </c>
      <c r="F1161" s="33">
        <f t="shared" si="61"/>
        <v>2500</v>
      </c>
    </row>
    <row r="1162" ht="13.5" customHeight="1">
      <c r="D1162" s="7"/>
      <c r="E1162" s="14" t="s">
        <v>37</v>
      </c>
      <c r="F1162" s="46">
        <f>SUM(F1160:F1161)</f>
        <v>5750</v>
      </c>
    </row>
    <row r="1163" ht="13.5" customHeight="1">
      <c r="D1163" s="7"/>
      <c r="E1163" s="14" t="s">
        <v>59</v>
      </c>
      <c r="F1163" s="46">
        <f>ROUND(F1162*0.5,0)</f>
        <v>2875</v>
      </c>
    </row>
    <row r="1164" ht="13.5" customHeight="1">
      <c r="D1164" s="7"/>
      <c r="E1164" s="14" t="s">
        <v>60</v>
      </c>
      <c r="F1164" s="46">
        <f>F1162+F1163</f>
        <v>8625</v>
      </c>
    </row>
    <row r="1165" ht="13.5" customHeight="1">
      <c r="D1165" s="7"/>
      <c r="E1165" s="9"/>
      <c r="F1165" s="9"/>
    </row>
    <row r="1166" ht="13.5" customHeight="1">
      <c r="A1166" s="14" t="s">
        <v>62</v>
      </c>
      <c r="D1166" s="7"/>
      <c r="E1166" s="9"/>
      <c r="F1166" s="9"/>
    </row>
    <row r="1167" ht="13.5" customHeight="1">
      <c r="A1167" s="18" t="s">
        <v>15</v>
      </c>
      <c r="B1167" s="18" t="s">
        <v>17</v>
      </c>
      <c r="C1167" s="18" t="s">
        <v>18</v>
      </c>
      <c r="D1167" s="18" t="s">
        <v>19</v>
      </c>
      <c r="E1167" s="18" t="s">
        <v>20</v>
      </c>
      <c r="F1167" s="18" t="s">
        <v>21</v>
      </c>
    </row>
    <row r="1168" ht="13.5" customHeight="1">
      <c r="A1168" s="21" t="s">
        <v>22</v>
      </c>
      <c r="B1168" s="21" t="s">
        <v>394</v>
      </c>
      <c r="C1168" s="21" t="s">
        <v>51</v>
      </c>
      <c r="D1168" s="144">
        <f>ROUND(1/B1145,2)</f>
        <v>0.05</v>
      </c>
      <c r="E1168" s="21">
        <v>45000.0</v>
      </c>
      <c r="F1168" s="33">
        <f>ROUND(IFERROR(D1168*E1168,0),0)</f>
        <v>2250</v>
      </c>
    </row>
    <row r="1169" ht="13.5" customHeight="1">
      <c r="A1169" s="21"/>
      <c r="B1169" s="21"/>
      <c r="C1169" s="21"/>
      <c r="D1169" s="144"/>
      <c r="E1169" s="21"/>
      <c r="F1169" s="33"/>
    </row>
    <row r="1170" ht="13.5" customHeight="1">
      <c r="D1170" s="7"/>
      <c r="E1170" s="14" t="s">
        <v>37</v>
      </c>
      <c r="F1170" s="46">
        <f>SUM(F1168:F1169)</f>
        <v>2250</v>
      </c>
    </row>
    <row r="1171" ht="13.5" customHeight="1">
      <c r="D1171" s="7"/>
      <c r="E1171" s="9"/>
      <c r="F1171" s="9"/>
    </row>
    <row r="1172" ht="13.5" customHeight="1">
      <c r="A1172" s="14" t="s">
        <v>74</v>
      </c>
      <c r="D1172" s="7"/>
      <c r="E1172" s="9"/>
      <c r="F1172" s="9"/>
    </row>
    <row r="1173" ht="13.5" customHeight="1">
      <c r="A1173" s="18"/>
      <c r="B1173" s="18" t="s">
        <v>17</v>
      </c>
      <c r="C1173" s="18" t="s">
        <v>18</v>
      </c>
      <c r="D1173" s="18" t="s">
        <v>19</v>
      </c>
      <c r="E1173" s="18" t="s">
        <v>20</v>
      </c>
      <c r="F1173" s="18" t="s">
        <v>21</v>
      </c>
    </row>
    <row r="1174" ht="13.5" customHeight="1">
      <c r="D1174" s="7"/>
      <c r="E1174" s="14" t="s">
        <v>77</v>
      </c>
      <c r="F1174" s="46">
        <f>F1156+F1164+F1170</f>
        <v>25321</v>
      </c>
    </row>
    <row r="1175" ht="13.5" customHeight="1">
      <c r="D1175" s="7"/>
      <c r="E1175" s="14" t="s">
        <v>6</v>
      </c>
      <c r="F1175" s="46">
        <f>ROUND(F1174*F1146,0)</f>
        <v>3798</v>
      </c>
    </row>
    <row r="1176" ht="13.5" customHeight="1">
      <c r="D1176" s="7"/>
      <c r="E1176" s="14" t="s">
        <v>8</v>
      </c>
      <c r="F1176" s="46">
        <f>ROUND(F1174*F1147,0)</f>
        <v>5064</v>
      </c>
    </row>
    <row r="1177" ht="13.5" customHeight="1">
      <c r="D1177" s="7"/>
      <c r="E1177" s="14" t="s">
        <v>81</v>
      </c>
      <c r="F1177" s="46">
        <f>F1174+F1175+F1176</f>
        <v>34183</v>
      </c>
    </row>
    <row r="1178" ht="13.5" customHeight="1">
      <c r="D1178" s="7"/>
      <c r="E1178" s="14" t="s">
        <v>82</v>
      </c>
      <c r="F1178" s="46">
        <f>ROUND(F1177*F1148,0)</f>
        <v>6495</v>
      </c>
    </row>
    <row r="1179" ht="13.5" customHeight="1">
      <c r="D1179" s="14" t="s">
        <v>83</v>
      </c>
      <c r="E1179" s="18" t="s">
        <v>84</v>
      </c>
      <c r="F1179" s="53">
        <f>F1177+F1178</f>
        <v>40678</v>
      </c>
    </row>
    <row r="1180" ht="13.5" customHeight="1"/>
    <row r="1181" ht="13.5" customHeight="1"/>
    <row r="1182" ht="13.5" customHeight="1"/>
    <row r="1183" ht="13.5" customHeight="1"/>
    <row r="1184" ht="13.5" customHeight="1"/>
    <row r="1185" ht="13.5" customHeight="1"/>
    <row r="1186" ht="13.5" customHeight="1"/>
    <row r="1187" ht="13.5" customHeight="1"/>
    <row r="1188" ht="13.5" customHeight="1"/>
    <row r="1189" ht="13.5" customHeight="1">
      <c r="A1189" s="3" t="s">
        <v>1</v>
      </c>
      <c r="B1189" s="5">
        <v>90.0</v>
      </c>
      <c r="C1189" s="3" t="s">
        <v>2</v>
      </c>
      <c r="D1189" s="7"/>
      <c r="E1189" s="3" t="s">
        <v>3</v>
      </c>
      <c r="F1189" s="9"/>
    </row>
    <row r="1190" ht="13.5" customHeight="1">
      <c r="A1190" s="3" t="s">
        <v>4</v>
      </c>
      <c r="B1190" s="5" t="s">
        <v>5</v>
      </c>
      <c r="D1190" s="7"/>
      <c r="E1190" s="3" t="s">
        <v>6</v>
      </c>
      <c r="F1190" s="10">
        <v>0.15</v>
      </c>
    </row>
    <row r="1191" ht="13.5" customHeight="1">
      <c r="D1191" s="7"/>
      <c r="E1191" s="3" t="s">
        <v>8</v>
      </c>
      <c r="F1191" s="10">
        <v>0.2</v>
      </c>
    </row>
    <row r="1192" ht="13.5" customHeight="1">
      <c r="B1192" s="5" t="s">
        <v>473</v>
      </c>
      <c r="D1192" s="7"/>
      <c r="E1192" s="3" t="s">
        <v>10</v>
      </c>
      <c r="F1192" s="10">
        <v>0.19</v>
      </c>
    </row>
    <row r="1193" ht="13.5" customHeight="1">
      <c r="A1193" s="14" t="s">
        <v>11</v>
      </c>
      <c r="D1193" s="7"/>
      <c r="E1193" s="9"/>
      <c r="F1193" s="9"/>
    </row>
    <row r="1194" ht="13.5" customHeight="1">
      <c r="A1194" s="18" t="s">
        <v>15</v>
      </c>
      <c r="B1194" s="18" t="s">
        <v>17</v>
      </c>
      <c r="C1194" s="18" t="s">
        <v>18</v>
      </c>
      <c r="D1194" s="18" t="s">
        <v>19</v>
      </c>
      <c r="E1194" s="18" t="s">
        <v>20</v>
      </c>
      <c r="F1194" s="18" t="s">
        <v>21</v>
      </c>
    </row>
    <row r="1195" ht="13.5" customHeight="1">
      <c r="A1195" s="21" t="s">
        <v>22</v>
      </c>
      <c r="B1195" s="21" t="s">
        <v>474</v>
      </c>
      <c r="C1195" s="21" t="s">
        <v>34</v>
      </c>
      <c r="D1195" s="21">
        <v>1.0</v>
      </c>
      <c r="E1195" s="21">
        <v>1500.0</v>
      </c>
      <c r="F1195" s="33">
        <f t="shared" ref="F1195:F1196" si="62">ROUND(IFERROR(D1195*E1195,0),0)</f>
        <v>1500</v>
      </c>
    </row>
    <row r="1196" ht="13.5" customHeight="1">
      <c r="A1196" s="21" t="s">
        <v>27</v>
      </c>
      <c r="B1196" s="21" t="s">
        <v>475</v>
      </c>
      <c r="C1196" s="21" t="s">
        <v>34</v>
      </c>
      <c r="D1196" s="21">
        <v>1.0</v>
      </c>
      <c r="E1196" s="21">
        <v>1000.0</v>
      </c>
      <c r="F1196" s="33">
        <f t="shared" si="62"/>
        <v>1000</v>
      </c>
    </row>
    <row r="1197" ht="13.5" customHeight="1">
      <c r="A1197" s="21" t="s">
        <v>32</v>
      </c>
      <c r="B1197" s="21"/>
      <c r="C1197" s="21"/>
      <c r="D1197" s="21"/>
      <c r="E1197" s="21"/>
      <c r="F1197" s="33">
        <f t="shared" ref="F1197:F1198" si="63">IFERROR(D1197*E1197,0)</f>
        <v>0</v>
      </c>
    </row>
    <row r="1198" ht="13.5" customHeight="1">
      <c r="A1198" s="21" t="s">
        <v>99</v>
      </c>
      <c r="B1198" s="21"/>
      <c r="C1198" s="21"/>
      <c r="D1198" s="21"/>
      <c r="E1198" s="21"/>
      <c r="F1198" s="33">
        <f t="shared" si="63"/>
        <v>0</v>
      </c>
    </row>
    <row r="1199" ht="13.5" customHeight="1">
      <c r="D1199" s="7"/>
      <c r="E1199" s="14" t="s">
        <v>37</v>
      </c>
      <c r="F1199" s="46">
        <f>SUM(F1195:F1198)</f>
        <v>2500</v>
      </c>
    </row>
    <row r="1200" ht="13.5" customHeight="1">
      <c r="D1200" s="7"/>
      <c r="E1200" s="9"/>
      <c r="F1200" s="9"/>
    </row>
    <row r="1201" ht="13.5" customHeight="1">
      <c r="A1201" s="14" t="s">
        <v>44</v>
      </c>
      <c r="D1201" s="7"/>
      <c r="E1201" s="9"/>
      <c r="F1201" s="9"/>
    </row>
    <row r="1202" ht="13.5" customHeight="1">
      <c r="A1202" s="18" t="s">
        <v>15</v>
      </c>
      <c r="B1202" s="18" t="s">
        <v>17</v>
      </c>
      <c r="C1202" s="18" t="s">
        <v>18</v>
      </c>
      <c r="D1202" s="18" t="s">
        <v>19</v>
      </c>
      <c r="E1202" s="18" t="s">
        <v>20</v>
      </c>
      <c r="F1202" s="18" t="s">
        <v>21</v>
      </c>
    </row>
    <row r="1203" ht="13.5" customHeight="1">
      <c r="A1203" s="21" t="s">
        <v>22</v>
      </c>
      <c r="B1203" s="21" t="s">
        <v>345</v>
      </c>
      <c r="C1203" s="21" t="s">
        <v>51</v>
      </c>
      <c r="D1203" s="187">
        <f>ROUND(1/B1189,2)</f>
        <v>0.01</v>
      </c>
      <c r="E1203" s="21">
        <v>65000.0</v>
      </c>
      <c r="F1203" s="33">
        <f t="shared" ref="F1203:F1204" si="64">ROUND(IFERROR(D1203*E1203,0),0)</f>
        <v>650</v>
      </c>
    </row>
    <row r="1204" ht="13.5" customHeight="1">
      <c r="A1204" s="21" t="s">
        <v>27</v>
      </c>
      <c r="B1204" s="21" t="s">
        <v>54</v>
      </c>
      <c r="C1204" s="21" t="s">
        <v>51</v>
      </c>
      <c r="D1204" s="187">
        <f>ROUND(1/B1189,2)</f>
        <v>0.01</v>
      </c>
      <c r="E1204" s="21">
        <v>50000.0</v>
      </c>
      <c r="F1204" s="33">
        <f t="shared" si="64"/>
        <v>500</v>
      </c>
    </row>
    <row r="1205" ht="13.5" customHeight="1">
      <c r="D1205" s="7"/>
      <c r="E1205" s="14" t="s">
        <v>37</v>
      </c>
      <c r="F1205" s="46">
        <f>SUM(F1203:F1204)</f>
        <v>1150</v>
      </c>
    </row>
    <row r="1206" ht="13.5" customHeight="1">
      <c r="D1206" s="7"/>
      <c r="E1206" s="14" t="s">
        <v>59</v>
      </c>
      <c r="F1206" s="46">
        <f>ROUND(F1205*0.5,0)</f>
        <v>575</v>
      </c>
    </row>
    <row r="1207" ht="13.5" customHeight="1">
      <c r="D1207" s="7"/>
      <c r="E1207" s="14" t="s">
        <v>60</v>
      </c>
      <c r="F1207" s="46">
        <f>F1205+F1206</f>
        <v>1725</v>
      </c>
    </row>
    <row r="1208" ht="13.5" customHeight="1">
      <c r="D1208" s="7"/>
      <c r="E1208" s="9"/>
      <c r="F1208" s="9"/>
    </row>
    <row r="1209" ht="13.5" customHeight="1">
      <c r="A1209" s="14" t="s">
        <v>62</v>
      </c>
      <c r="D1209" s="7"/>
      <c r="E1209" s="9"/>
      <c r="F1209" s="9"/>
    </row>
    <row r="1210" ht="13.5" customHeight="1">
      <c r="A1210" s="18" t="s">
        <v>15</v>
      </c>
      <c r="B1210" s="18" t="s">
        <v>17</v>
      </c>
      <c r="C1210" s="18" t="s">
        <v>18</v>
      </c>
      <c r="D1210" s="18" t="s">
        <v>19</v>
      </c>
      <c r="E1210" s="18" t="s">
        <v>20</v>
      </c>
      <c r="F1210" s="18" t="s">
        <v>21</v>
      </c>
    </row>
    <row r="1211" ht="13.5" customHeight="1">
      <c r="A1211" s="21" t="s">
        <v>22</v>
      </c>
      <c r="B1211" s="21" t="s">
        <v>394</v>
      </c>
      <c r="C1211" s="21" t="s">
        <v>51</v>
      </c>
      <c r="D1211" s="144">
        <f>ROUND(1/B1189,2)</f>
        <v>0.01</v>
      </c>
      <c r="E1211" s="21">
        <v>45000.0</v>
      </c>
      <c r="F1211" s="279">
        <f>ROUND(IFERROR(D1211*E1211,0),0)</f>
        <v>450</v>
      </c>
    </row>
    <row r="1212" ht="13.5" customHeight="1">
      <c r="A1212" s="21"/>
      <c r="B1212" s="21"/>
      <c r="C1212" s="21"/>
      <c r="D1212" s="144"/>
      <c r="E1212" s="21"/>
      <c r="F1212" s="279"/>
    </row>
    <row r="1213" ht="13.5" customHeight="1">
      <c r="D1213" s="7"/>
      <c r="E1213" s="14" t="s">
        <v>37</v>
      </c>
      <c r="F1213" s="293">
        <f>SUM(F1211:F1212)</f>
        <v>450</v>
      </c>
    </row>
    <row r="1214" ht="13.5" customHeight="1">
      <c r="D1214" s="7"/>
      <c r="E1214" s="9"/>
      <c r="F1214" s="9"/>
    </row>
    <row r="1215" ht="13.5" customHeight="1">
      <c r="A1215" s="14" t="s">
        <v>74</v>
      </c>
      <c r="D1215" s="7"/>
      <c r="E1215" s="9"/>
      <c r="F1215" s="9"/>
    </row>
    <row r="1216" ht="13.5" customHeight="1">
      <c r="A1216" s="18"/>
      <c r="B1216" s="18" t="s">
        <v>17</v>
      </c>
      <c r="C1216" s="18" t="s">
        <v>18</v>
      </c>
      <c r="D1216" s="18" t="s">
        <v>19</v>
      </c>
      <c r="E1216" s="18" t="s">
        <v>20</v>
      </c>
      <c r="F1216" s="18" t="s">
        <v>21</v>
      </c>
    </row>
    <row r="1217" ht="13.5" customHeight="1">
      <c r="D1217" s="7"/>
      <c r="E1217" s="14" t="s">
        <v>77</v>
      </c>
      <c r="F1217" s="46">
        <f>F1199+F1207+F1213</f>
        <v>4675</v>
      </c>
    </row>
    <row r="1218" ht="13.5" customHeight="1">
      <c r="D1218" s="7"/>
      <c r="E1218" s="14" t="s">
        <v>6</v>
      </c>
      <c r="F1218" s="46">
        <f>ROUND(F1217*F1190,0)</f>
        <v>701</v>
      </c>
    </row>
    <row r="1219" ht="13.5" customHeight="1">
      <c r="D1219" s="7"/>
      <c r="E1219" s="14" t="s">
        <v>8</v>
      </c>
      <c r="F1219" s="46">
        <f>ROUND(F1217*F1191,0)</f>
        <v>935</v>
      </c>
    </row>
    <row r="1220" ht="13.5" customHeight="1">
      <c r="D1220" s="7"/>
      <c r="E1220" s="14" t="s">
        <v>81</v>
      </c>
      <c r="F1220" s="46">
        <f>F1217+F1218+F1219</f>
        <v>6311</v>
      </c>
    </row>
    <row r="1221" ht="13.5" customHeight="1">
      <c r="D1221" s="7"/>
      <c r="E1221" s="14" t="s">
        <v>82</v>
      </c>
      <c r="F1221" s="46">
        <f>ROUND(F1220*F1192,0)</f>
        <v>1199</v>
      </c>
    </row>
    <row r="1222" ht="13.5" customHeight="1">
      <c r="D1222" s="14" t="s">
        <v>83</v>
      </c>
      <c r="E1222" s="18" t="s">
        <v>84</v>
      </c>
      <c r="F1222" s="53">
        <f>F1220+F1221</f>
        <v>7510</v>
      </c>
    </row>
    <row r="1223" ht="13.5" customHeight="1"/>
    <row r="1224" ht="13.5" customHeight="1"/>
    <row r="1225" ht="13.5" customHeight="1"/>
    <row r="1226" ht="13.5" customHeight="1"/>
    <row r="1227" ht="13.5" customHeight="1"/>
    <row r="1228" ht="13.5" customHeight="1"/>
    <row r="1229" ht="13.5" customHeight="1"/>
    <row r="1230" ht="13.5" customHeight="1"/>
    <row r="1231" ht="13.5" customHeight="1"/>
    <row r="1232" ht="13.5" customHeight="1"/>
    <row r="1233" ht="13.5" customHeight="1">
      <c r="A1233" s="3" t="s">
        <v>1</v>
      </c>
      <c r="B1233" s="5">
        <v>40.0</v>
      </c>
      <c r="C1233" s="3" t="s">
        <v>2</v>
      </c>
      <c r="D1233" s="7"/>
      <c r="E1233" s="3" t="s">
        <v>3</v>
      </c>
      <c r="F1233" s="9"/>
    </row>
    <row r="1234" ht="13.5" customHeight="1">
      <c r="A1234" s="3" t="s">
        <v>4</v>
      </c>
      <c r="B1234" s="5" t="s">
        <v>142</v>
      </c>
      <c r="D1234" s="7"/>
      <c r="E1234" s="3" t="s">
        <v>6</v>
      </c>
      <c r="F1234" s="10">
        <v>0.15</v>
      </c>
    </row>
    <row r="1235" ht="13.5" customHeight="1">
      <c r="D1235" s="7"/>
      <c r="E1235" s="3" t="s">
        <v>8</v>
      </c>
      <c r="F1235" s="10">
        <v>0.2</v>
      </c>
    </row>
    <row r="1236" ht="13.5" customHeight="1">
      <c r="B1236" s="5" t="s">
        <v>476</v>
      </c>
      <c r="D1236" s="7"/>
      <c r="E1236" s="3" t="s">
        <v>10</v>
      </c>
      <c r="F1236" s="10">
        <v>0.19</v>
      </c>
    </row>
    <row r="1237" ht="13.5" customHeight="1">
      <c r="A1237" s="14" t="s">
        <v>11</v>
      </c>
      <c r="D1237" s="7"/>
      <c r="E1237" s="9"/>
      <c r="F1237" s="9"/>
    </row>
    <row r="1238" ht="13.5" customHeight="1">
      <c r="A1238" s="18" t="s">
        <v>15</v>
      </c>
      <c r="B1238" s="18" t="s">
        <v>17</v>
      </c>
      <c r="C1238" s="18" t="s">
        <v>18</v>
      </c>
      <c r="D1238" s="18" t="s">
        <v>19</v>
      </c>
      <c r="E1238" s="18" t="s">
        <v>20</v>
      </c>
      <c r="F1238" s="18" t="s">
        <v>21</v>
      </c>
    </row>
    <row r="1239" ht="13.5" customHeight="1">
      <c r="A1239" s="21" t="s">
        <v>22</v>
      </c>
      <c r="B1239" s="21" t="s">
        <v>477</v>
      </c>
      <c r="C1239" s="21" t="s">
        <v>383</v>
      </c>
      <c r="D1239" s="21">
        <v>6.0</v>
      </c>
      <c r="E1239" s="279">
        <v>120.672268907563</v>
      </c>
      <c r="F1239" s="33">
        <f t="shared" ref="F1239:F1241" si="65">ROUND(IFERROR(D1239*E1239,0),0)</f>
        <v>724</v>
      </c>
    </row>
    <row r="1240" ht="13.5" customHeight="1">
      <c r="A1240" s="21" t="s">
        <v>27</v>
      </c>
      <c r="B1240" s="21" t="s">
        <v>478</v>
      </c>
      <c r="C1240" s="21" t="s">
        <v>439</v>
      </c>
      <c r="D1240" s="21">
        <v>0.05</v>
      </c>
      <c r="E1240" s="279">
        <v>5873.949579831933</v>
      </c>
      <c r="F1240" s="33">
        <f t="shared" si="65"/>
        <v>294</v>
      </c>
    </row>
    <row r="1241" ht="13.5" customHeight="1">
      <c r="A1241" s="21" t="s">
        <v>32</v>
      </c>
      <c r="B1241" s="21" t="s">
        <v>479</v>
      </c>
      <c r="C1241" s="21" t="s">
        <v>34</v>
      </c>
      <c r="D1241" s="21">
        <v>1.0</v>
      </c>
      <c r="E1241" s="279">
        <v>1200.0</v>
      </c>
      <c r="F1241" s="33">
        <f t="shared" si="65"/>
        <v>1200</v>
      </c>
    </row>
    <row r="1242" ht="13.5" customHeight="1">
      <c r="A1242" s="21" t="s">
        <v>99</v>
      </c>
      <c r="B1242" s="21"/>
      <c r="C1242" s="21"/>
      <c r="D1242" s="21"/>
      <c r="E1242" s="21"/>
      <c r="F1242" s="33">
        <f>IFERROR(D1242*E1242,0)</f>
        <v>0</v>
      </c>
    </row>
    <row r="1243" ht="13.5" customHeight="1">
      <c r="D1243" s="7"/>
      <c r="E1243" s="14" t="s">
        <v>37</v>
      </c>
      <c r="F1243" s="46">
        <f>SUM(F1239:F1242)</f>
        <v>2218</v>
      </c>
    </row>
    <row r="1244" ht="13.5" customHeight="1">
      <c r="D1244" s="7"/>
      <c r="E1244" s="9"/>
      <c r="F1244" s="9"/>
    </row>
    <row r="1245" ht="13.5" customHeight="1">
      <c r="A1245" s="14" t="s">
        <v>44</v>
      </c>
      <c r="D1245" s="7"/>
      <c r="E1245" s="9"/>
      <c r="F1245" s="9"/>
    </row>
    <row r="1246" ht="13.5" customHeight="1">
      <c r="A1246" s="18" t="s">
        <v>15</v>
      </c>
      <c r="B1246" s="18" t="s">
        <v>17</v>
      </c>
      <c r="C1246" s="18" t="s">
        <v>18</v>
      </c>
      <c r="D1246" s="18" t="s">
        <v>19</v>
      </c>
      <c r="E1246" s="18" t="s">
        <v>20</v>
      </c>
      <c r="F1246" s="18" t="s">
        <v>21</v>
      </c>
    </row>
    <row r="1247" ht="13.5" customHeight="1">
      <c r="A1247" s="21" t="s">
        <v>22</v>
      </c>
      <c r="B1247" s="21" t="s">
        <v>345</v>
      </c>
      <c r="C1247" s="21" t="s">
        <v>51</v>
      </c>
      <c r="D1247" s="187">
        <f>ROUND(1/B1233,2)</f>
        <v>0.03</v>
      </c>
      <c r="E1247" s="21">
        <v>65000.0</v>
      </c>
      <c r="F1247" s="33">
        <f t="shared" ref="F1247:F1248" si="66">ROUND(IFERROR(D1247*E1247,0),0)</f>
        <v>1950</v>
      </c>
    </row>
    <row r="1248" ht="13.5" customHeight="1">
      <c r="A1248" s="21" t="s">
        <v>27</v>
      </c>
      <c r="B1248" s="21" t="s">
        <v>54</v>
      </c>
      <c r="C1248" s="21" t="s">
        <v>51</v>
      </c>
      <c r="D1248" s="187">
        <f>ROUND(1/B1233,2)</f>
        <v>0.03</v>
      </c>
      <c r="E1248" s="21">
        <v>50000.0</v>
      </c>
      <c r="F1248" s="33">
        <f t="shared" si="66"/>
        <v>1500</v>
      </c>
    </row>
    <row r="1249" ht="13.5" customHeight="1">
      <c r="D1249" s="7"/>
      <c r="E1249" s="14" t="s">
        <v>37</v>
      </c>
      <c r="F1249" s="46">
        <f>SUM(F1247:F1248)</f>
        <v>3450</v>
      </c>
    </row>
    <row r="1250" ht="13.5" customHeight="1">
      <c r="D1250" s="7"/>
      <c r="E1250" s="14" t="s">
        <v>59</v>
      </c>
      <c r="F1250" s="46">
        <f>ROUND(F1249*0.5,0)</f>
        <v>1725</v>
      </c>
    </row>
    <row r="1251" ht="13.5" customHeight="1">
      <c r="D1251" s="7"/>
      <c r="E1251" s="14" t="s">
        <v>60</v>
      </c>
      <c r="F1251" s="46">
        <f>F1249+F1250</f>
        <v>5175</v>
      </c>
    </row>
    <row r="1252" ht="13.5" customHeight="1">
      <c r="D1252" s="7"/>
      <c r="E1252" s="9"/>
      <c r="F1252" s="9"/>
    </row>
    <row r="1253" ht="13.5" customHeight="1">
      <c r="A1253" s="14" t="s">
        <v>62</v>
      </c>
      <c r="D1253" s="7"/>
      <c r="E1253" s="9"/>
      <c r="F1253" s="9"/>
    </row>
    <row r="1254" ht="13.5" customHeight="1">
      <c r="A1254" s="18" t="s">
        <v>15</v>
      </c>
      <c r="B1254" s="18" t="s">
        <v>17</v>
      </c>
      <c r="C1254" s="18" t="s">
        <v>18</v>
      </c>
      <c r="D1254" s="18" t="s">
        <v>19</v>
      </c>
      <c r="E1254" s="18" t="s">
        <v>20</v>
      </c>
      <c r="F1254" s="18" t="s">
        <v>21</v>
      </c>
    </row>
    <row r="1255" ht="13.5" customHeight="1">
      <c r="A1255" s="21" t="s">
        <v>22</v>
      </c>
      <c r="B1255" s="21" t="s">
        <v>394</v>
      </c>
      <c r="C1255" s="21" t="s">
        <v>51</v>
      </c>
      <c r="D1255" s="144">
        <f>ROUND(1/B1233,2)</f>
        <v>0.03</v>
      </c>
      <c r="E1255" s="21">
        <v>45000.0</v>
      </c>
      <c r="F1255" s="33">
        <f>ROUND(IFERROR(D1255*E1255,0),0)</f>
        <v>1350</v>
      </c>
    </row>
    <row r="1256" ht="13.5" customHeight="1">
      <c r="A1256" s="21"/>
      <c r="B1256" s="21"/>
      <c r="C1256" s="21"/>
      <c r="D1256" s="144"/>
      <c r="E1256" s="21"/>
      <c r="F1256" s="33"/>
    </row>
    <row r="1257" ht="13.5" customHeight="1">
      <c r="D1257" s="7"/>
      <c r="E1257" s="14" t="s">
        <v>37</v>
      </c>
      <c r="F1257" s="46">
        <f>SUM(F1255:F1256)</f>
        <v>1350</v>
      </c>
    </row>
    <row r="1258" ht="13.5" customHeight="1">
      <c r="D1258" s="7"/>
      <c r="E1258" s="9"/>
      <c r="F1258" s="9"/>
    </row>
    <row r="1259" ht="13.5" customHeight="1">
      <c r="A1259" s="14" t="s">
        <v>74</v>
      </c>
      <c r="D1259" s="7"/>
      <c r="E1259" s="9"/>
      <c r="F1259" s="9"/>
    </row>
    <row r="1260" ht="13.5" customHeight="1">
      <c r="A1260" s="18"/>
      <c r="B1260" s="18" t="s">
        <v>17</v>
      </c>
      <c r="C1260" s="18" t="s">
        <v>18</v>
      </c>
      <c r="D1260" s="18" t="s">
        <v>19</v>
      </c>
      <c r="E1260" s="18" t="s">
        <v>20</v>
      </c>
      <c r="F1260" s="18" t="s">
        <v>21</v>
      </c>
    </row>
    <row r="1261" ht="13.5" customHeight="1">
      <c r="D1261" s="7"/>
      <c r="E1261" s="14" t="s">
        <v>77</v>
      </c>
      <c r="F1261" s="46">
        <f>F1243+F1251+F1257</f>
        <v>8743</v>
      </c>
    </row>
    <row r="1262" ht="13.5" customHeight="1">
      <c r="D1262" s="7"/>
      <c r="E1262" s="14" t="s">
        <v>6</v>
      </c>
      <c r="F1262" s="46">
        <f>ROUND(F1261*F1234,0)</f>
        <v>1311</v>
      </c>
    </row>
    <row r="1263" ht="13.5" customHeight="1">
      <c r="D1263" s="7"/>
      <c r="E1263" s="14" t="s">
        <v>8</v>
      </c>
      <c r="F1263" s="46">
        <f>ROUND(F1261*F1235,0)</f>
        <v>1749</v>
      </c>
    </row>
    <row r="1264" ht="13.5" customHeight="1">
      <c r="D1264" s="7"/>
      <c r="E1264" s="14" t="s">
        <v>81</v>
      </c>
      <c r="F1264" s="46">
        <f>F1261+F1262+F1263</f>
        <v>11803</v>
      </c>
    </row>
    <row r="1265" ht="13.5" customHeight="1">
      <c r="D1265" s="7"/>
      <c r="E1265" s="14" t="s">
        <v>82</v>
      </c>
      <c r="F1265" s="46">
        <f>ROUND(F1264*F1236,0)</f>
        <v>2243</v>
      </c>
    </row>
    <row r="1266" ht="13.5" customHeight="1">
      <c r="D1266" s="14" t="s">
        <v>254</v>
      </c>
      <c r="E1266" s="18" t="s">
        <v>84</v>
      </c>
      <c r="F1266" s="53">
        <f>F1264+F1265</f>
        <v>14046</v>
      </c>
    </row>
    <row r="1267" ht="13.5" customHeight="1"/>
    <row r="1268" ht="13.5" customHeight="1"/>
    <row r="1269" ht="13.5" customHeight="1"/>
    <row r="1270" ht="13.5" customHeight="1"/>
    <row r="1271" ht="13.5" customHeight="1"/>
    <row r="1272" ht="13.5" customHeight="1"/>
    <row r="1273" ht="13.5" customHeight="1"/>
    <row r="1274" ht="13.5" customHeight="1"/>
    <row r="1275" ht="13.5" customHeight="1"/>
    <row r="1276" ht="13.5" customHeight="1"/>
    <row r="1277" ht="13.5" customHeight="1">
      <c r="A1277" s="3" t="s">
        <v>1</v>
      </c>
      <c r="B1277" s="5">
        <v>1.5</v>
      </c>
      <c r="C1277" s="3" t="s">
        <v>2</v>
      </c>
      <c r="D1277" s="7"/>
      <c r="E1277" s="3" t="s">
        <v>3</v>
      </c>
      <c r="F1277" s="9"/>
    </row>
    <row r="1278" ht="13.5" customHeight="1">
      <c r="A1278" s="3" t="s">
        <v>4</v>
      </c>
      <c r="B1278" s="5" t="s">
        <v>30</v>
      </c>
      <c r="D1278" s="7"/>
      <c r="E1278" s="3" t="s">
        <v>6</v>
      </c>
      <c r="F1278" s="10">
        <v>0.15</v>
      </c>
    </row>
    <row r="1279" ht="13.5" customHeight="1">
      <c r="D1279" s="7"/>
      <c r="E1279" s="3" t="s">
        <v>8</v>
      </c>
      <c r="F1279" s="10">
        <v>0.2</v>
      </c>
    </row>
    <row r="1280" ht="13.5" customHeight="1">
      <c r="B1280" s="5" t="s">
        <v>480</v>
      </c>
      <c r="D1280" s="7"/>
      <c r="E1280" s="3" t="s">
        <v>10</v>
      </c>
      <c r="F1280" s="10">
        <v>0.19</v>
      </c>
    </row>
    <row r="1281" ht="13.5" customHeight="1">
      <c r="A1281" s="14" t="s">
        <v>11</v>
      </c>
      <c r="D1281" s="7"/>
      <c r="E1281" s="9"/>
      <c r="F1281" s="9"/>
    </row>
    <row r="1282" ht="13.5" customHeight="1">
      <c r="A1282" s="18" t="s">
        <v>15</v>
      </c>
      <c r="B1282" s="18" t="s">
        <v>17</v>
      </c>
      <c r="C1282" s="18" t="s">
        <v>18</v>
      </c>
      <c r="D1282" s="18" t="s">
        <v>19</v>
      </c>
      <c r="E1282" s="18" t="s">
        <v>20</v>
      </c>
      <c r="F1282" s="18" t="s">
        <v>21</v>
      </c>
    </row>
    <row r="1283" ht="13.5" customHeight="1">
      <c r="A1283" s="21" t="s">
        <v>22</v>
      </c>
      <c r="B1283" s="21" t="s">
        <v>481</v>
      </c>
      <c r="C1283" s="21" t="s">
        <v>5</v>
      </c>
      <c r="D1283" s="21">
        <f>+ROUND(4.275,2)</f>
        <v>4.28</v>
      </c>
      <c r="E1283" s="279">
        <v>120000.0</v>
      </c>
      <c r="F1283" s="33">
        <f t="shared" ref="F1283:F1288" si="67">ROUND(IFERROR(D1283*E1283,0),0)</f>
        <v>513600</v>
      </c>
    </row>
    <row r="1284" ht="13.5" customHeight="1">
      <c r="A1284" s="21" t="s">
        <v>27</v>
      </c>
      <c r="B1284" s="21" t="s">
        <v>482</v>
      </c>
      <c r="C1284" s="21" t="s">
        <v>483</v>
      </c>
      <c r="D1284" s="21">
        <v>1.0</v>
      </c>
      <c r="E1284" s="279">
        <v>10000.0</v>
      </c>
      <c r="F1284" s="33">
        <f t="shared" si="67"/>
        <v>10000</v>
      </c>
    </row>
    <row r="1285" ht="13.5" customHeight="1">
      <c r="A1285" s="21" t="s">
        <v>32</v>
      </c>
      <c r="B1285" s="21" t="s">
        <v>484</v>
      </c>
      <c r="C1285" s="21" t="s">
        <v>171</v>
      </c>
      <c r="D1285" s="21">
        <v>7.7</v>
      </c>
      <c r="E1285" s="279">
        <v>8.7</v>
      </c>
      <c r="F1285" s="33">
        <f t="shared" si="67"/>
        <v>67</v>
      </c>
    </row>
    <row r="1286" ht="13.5" customHeight="1">
      <c r="A1286" s="21" t="s">
        <v>99</v>
      </c>
      <c r="B1286" s="21" t="s">
        <v>485</v>
      </c>
      <c r="C1286" s="21" t="s">
        <v>171</v>
      </c>
      <c r="D1286" s="21">
        <v>6.41</v>
      </c>
      <c r="E1286" s="279">
        <v>495.8</v>
      </c>
      <c r="F1286" s="33">
        <f t="shared" si="67"/>
        <v>3178</v>
      </c>
    </row>
    <row r="1287" ht="13.5" customHeight="1">
      <c r="A1287" s="21" t="s">
        <v>101</v>
      </c>
      <c r="B1287" s="21" t="s">
        <v>486</v>
      </c>
      <c r="C1287" s="21" t="s">
        <v>171</v>
      </c>
      <c r="D1287" s="21">
        <v>2.56</v>
      </c>
      <c r="E1287" s="279">
        <v>7.8</v>
      </c>
      <c r="F1287" s="33">
        <f t="shared" si="67"/>
        <v>20</v>
      </c>
    </row>
    <row r="1288" ht="13.5" customHeight="1">
      <c r="A1288" s="21" t="s">
        <v>107</v>
      </c>
      <c r="B1288" s="21" t="s">
        <v>487</v>
      </c>
      <c r="C1288" s="21" t="s">
        <v>34</v>
      </c>
      <c r="D1288" s="21">
        <v>1.0</v>
      </c>
      <c r="E1288" s="279">
        <v>1500.0</v>
      </c>
      <c r="F1288" s="33">
        <f t="shared" si="67"/>
        <v>1500</v>
      </c>
    </row>
    <row r="1289" ht="13.5" customHeight="1">
      <c r="D1289" s="7"/>
      <c r="E1289" s="14" t="s">
        <v>37</v>
      </c>
      <c r="F1289" s="46">
        <f>SUM(F1283:F1288)</f>
        <v>528365</v>
      </c>
    </row>
    <row r="1290" ht="13.5" customHeight="1">
      <c r="D1290" s="7"/>
      <c r="E1290" s="9"/>
      <c r="F1290" s="9"/>
    </row>
    <row r="1291" ht="13.5" customHeight="1">
      <c r="A1291" s="14" t="s">
        <v>44</v>
      </c>
      <c r="D1291" s="7"/>
      <c r="E1291" s="9"/>
      <c r="F1291" s="9"/>
    </row>
    <row r="1292" ht="13.5" customHeight="1">
      <c r="A1292" s="18" t="s">
        <v>15</v>
      </c>
      <c r="B1292" s="18" t="s">
        <v>17</v>
      </c>
      <c r="C1292" s="18" t="s">
        <v>18</v>
      </c>
      <c r="D1292" s="18" t="s">
        <v>19</v>
      </c>
      <c r="E1292" s="18" t="s">
        <v>20</v>
      </c>
      <c r="F1292" s="18" t="s">
        <v>21</v>
      </c>
    </row>
    <row r="1293" ht="13.5" customHeight="1">
      <c r="A1293" s="21" t="s">
        <v>22</v>
      </c>
      <c r="B1293" s="21" t="s">
        <v>345</v>
      </c>
      <c r="C1293" s="21" t="s">
        <v>51</v>
      </c>
      <c r="D1293" s="187">
        <f>ROUND(1/B1277,2)</f>
        <v>0.67</v>
      </c>
      <c r="E1293" s="21">
        <v>65000.0</v>
      </c>
      <c r="F1293" s="33">
        <f t="shared" ref="F1293:F1294" si="68">ROUND(IFERROR(D1293*E1293,0),0)</f>
        <v>43550</v>
      </c>
    </row>
    <row r="1294" ht="13.5" customHeight="1">
      <c r="A1294" s="21" t="s">
        <v>27</v>
      </c>
      <c r="B1294" s="21" t="s">
        <v>54</v>
      </c>
      <c r="C1294" s="21" t="s">
        <v>51</v>
      </c>
      <c r="D1294" s="187">
        <f>ROUND(1/B1277,2)</f>
        <v>0.67</v>
      </c>
      <c r="E1294" s="21">
        <v>50000.0</v>
      </c>
      <c r="F1294" s="33">
        <f t="shared" si="68"/>
        <v>33500</v>
      </c>
    </row>
    <row r="1295" ht="13.5" customHeight="1">
      <c r="D1295" s="7"/>
      <c r="E1295" s="14" t="s">
        <v>37</v>
      </c>
      <c r="F1295" s="46">
        <f>SUM(F1293:F1294)</f>
        <v>77050</v>
      </c>
    </row>
    <row r="1296" ht="13.5" customHeight="1">
      <c r="D1296" s="7"/>
      <c r="E1296" s="14" t="s">
        <v>59</v>
      </c>
      <c r="F1296" s="46">
        <f>ROUND(F1295*0.5,2)</f>
        <v>38525</v>
      </c>
    </row>
    <row r="1297" ht="13.5" customHeight="1">
      <c r="D1297" s="7"/>
      <c r="E1297" s="14" t="s">
        <v>60</v>
      </c>
      <c r="F1297" s="46">
        <f>F1295+F1296</f>
        <v>115575</v>
      </c>
    </row>
    <row r="1298" ht="13.5" customHeight="1">
      <c r="D1298" s="7"/>
      <c r="E1298" s="9"/>
      <c r="F1298" s="9"/>
    </row>
    <row r="1299" ht="13.5" customHeight="1">
      <c r="A1299" s="14" t="s">
        <v>62</v>
      </c>
      <c r="D1299" s="7"/>
      <c r="E1299" s="9"/>
      <c r="F1299" s="9"/>
    </row>
    <row r="1300" ht="13.5" customHeight="1">
      <c r="A1300" s="18" t="s">
        <v>15</v>
      </c>
      <c r="B1300" s="18" t="s">
        <v>17</v>
      </c>
      <c r="C1300" s="18" t="s">
        <v>18</v>
      </c>
      <c r="D1300" s="18" t="s">
        <v>19</v>
      </c>
      <c r="E1300" s="18" t="s">
        <v>20</v>
      </c>
      <c r="F1300" s="18" t="s">
        <v>21</v>
      </c>
    </row>
    <row r="1301" ht="13.5" customHeight="1">
      <c r="A1301" s="21" t="s">
        <v>22</v>
      </c>
      <c r="B1301" s="21" t="s">
        <v>394</v>
      </c>
      <c r="C1301" s="21" t="s">
        <v>51</v>
      </c>
      <c r="D1301" s="144">
        <f>ROUND(1/B1277,2)</f>
        <v>0.67</v>
      </c>
      <c r="E1301" s="21">
        <v>45000.0</v>
      </c>
      <c r="F1301" s="33">
        <f>ROUND(IFERROR(D1301*E1301,0),0)</f>
        <v>30150</v>
      </c>
    </row>
    <row r="1302" ht="13.5" customHeight="1">
      <c r="A1302" s="21"/>
      <c r="B1302" s="21"/>
      <c r="C1302" s="21"/>
      <c r="D1302" s="144"/>
      <c r="E1302" s="21"/>
      <c r="F1302" s="33"/>
    </row>
    <row r="1303" ht="13.5" customHeight="1">
      <c r="D1303" s="7"/>
      <c r="E1303" s="14" t="s">
        <v>37</v>
      </c>
      <c r="F1303" s="46">
        <f>SUM(F1301:F1302)</f>
        <v>30150</v>
      </c>
    </row>
    <row r="1304" ht="13.5" customHeight="1">
      <c r="D1304" s="7"/>
      <c r="E1304" s="9"/>
      <c r="F1304" s="48"/>
    </row>
    <row r="1305" ht="13.5" customHeight="1">
      <c r="A1305" s="14" t="s">
        <v>74</v>
      </c>
      <c r="D1305" s="7"/>
      <c r="E1305" s="9"/>
      <c r="F1305" s="9"/>
    </row>
    <row r="1306" ht="13.5" customHeight="1">
      <c r="A1306" s="18"/>
      <c r="B1306" s="18" t="s">
        <v>17</v>
      </c>
      <c r="C1306" s="18" t="s">
        <v>18</v>
      </c>
      <c r="D1306" s="18" t="s">
        <v>19</v>
      </c>
      <c r="E1306" s="18" t="s">
        <v>20</v>
      </c>
      <c r="F1306" s="18" t="s">
        <v>21</v>
      </c>
    </row>
    <row r="1307" ht="13.5" customHeight="1">
      <c r="D1307" s="7"/>
      <c r="E1307" s="14" t="s">
        <v>77</v>
      </c>
      <c r="F1307" s="46">
        <f>F1289+F1297+F1303</f>
        <v>674090</v>
      </c>
    </row>
    <row r="1308" ht="13.5" customHeight="1">
      <c r="D1308" s="7"/>
      <c r="E1308" s="14" t="s">
        <v>6</v>
      </c>
      <c r="F1308" s="46">
        <f>ROUND(F1307*F1278,0)</f>
        <v>101114</v>
      </c>
    </row>
    <row r="1309" ht="13.5" customHeight="1">
      <c r="D1309" s="7"/>
      <c r="E1309" s="14" t="s">
        <v>8</v>
      </c>
      <c r="F1309" s="46">
        <f>ROUND(F1307*F1279,0)</f>
        <v>134818</v>
      </c>
    </row>
    <row r="1310" ht="13.5" customHeight="1">
      <c r="D1310" s="7"/>
      <c r="E1310" s="14" t="s">
        <v>81</v>
      </c>
      <c r="F1310" s="46">
        <f>F1307+F1308+F1309</f>
        <v>910022</v>
      </c>
    </row>
    <row r="1311" ht="13.5" customHeight="1">
      <c r="D1311" s="7"/>
      <c r="E1311" s="14" t="s">
        <v>82</v>
      </c>
      <c r="F1311" s="46">
        <f>ROUND(F1310*F1280,0)</f>
        <v>172904</v>
      </c>
    </row>
    <row r="1312" ht="13.5" customHeight="1">
      <c r="D1312" s="14" t="s">
        <v>425</v>
      </c>
      <c r="E1312" s="18" t="s">
        <v>84</v>
      </c>
      <c r="F1312" s="53">
        <f>F1310+F1311</f>
        <v>1082926</v>
      </c>
    </row>
    <row r="1313" ht="13.5" customHeight="1"/>
    <row r="1314" ht="13.5" customHeight="1"/>
    <row r="1315" ht="13.5" customHeight="1"/>
    <row r="1316" ht="13.5" customHeight="1"/>
    <row r="1317" ht="13.5" customHeight="1"/>
    <row r="1318" ht="13.5" customHeight="1"/>
    <row r="1319" ht="13.5" customHeight="1"/>
    <row r="1320" ht="13.5" customHeight="1"/>
    <row r="1321" ht="13.5" customHeight="1">
      <c r="A1321" s="3" t="s">
        <v>1</v>
      </c>
      <c r="B1321" s="5">
        <v>1.5</v>
      </c>
      <c r="C1321" s="3" t="s">
        <v>2</v>
      </c>
      <c r="D1321" s="7"/>
      <c r="E1321" s="3" t="s">
        <v>3</v>
      </c>
      <c r="F1321" s="9"/>
    </row>
    <row r="1322" ht="13.5" customHeight="1">
      <c r="A1322" s="3" t="s">
        <v>4</v>
      </c>
      <c r="B1322" s="5" t="s">
        <v>30</v>
      </c>
      <c r="D1322" s="7"/>
      <c r="E1322" s="3" t="s">
        <v>6</v>
      </c>
      <c r="F1322" s="10">
        <v>0.15</v>
      </c>
    </row>
    <row r="1323" ht="13.5" customHeight="1">
      <c r="D1323" s="7"/>
      <c r="E1323" s="3" t="s">
        <v>8</v>
      </c>
      <c r="F1323" s="10">
        <v>0.2</v>
      </c>
    </row>
    <row r="1324" ht="13.5" customHeight="1">
      <c r="B1324" s="5" t="s">
        <v>488</v>
      </c>
      <c r="D1324" s="7"/>
      <c r="E1324" s="3" t="s">
        <v>10</v>
      </c>
      <c r="F1324" s="10">
        <v>0.19</v>
      </c>
    </row>
    <row r="1325" ht="13.5" customHeight="1">
      <c r="A1325" s="14" t="s">
        <v>11</v>
      </c>
      <c r="D1325" s="7"/>
      <c r="E1325" s="9"/>
      <c r="F1325" s="9"/>
    </row>
    <row r="1326" ht="13.5" customHeight="1">
      <c r="A1326" s="18" t="s">
        <v>15</v>
      </c>
      <c r="B1326" s="18" t="s">
        <v>17</v>
      </c>
      <c r="C1326" s="18" t="s">
        <v>18</v>
      </c>
      <c r="D1326" s="18" t="s">
        <v>19</v>
      </c>
      <c r="E1326" s="18" t="s">
        <v>20</v>
      </c>
      <c r="F1326" s="18" t="s">
        <v>21</v>
      </c>
    </row>
    <row r="1327" ht="13.5" customHeight="1">
      <c r="A1327" s="21" t="s">
        <v>22</v>
      </c>
      <c r="B1327" s="21" t="s">
        <v>481</v>
      </c>
      <c r="C1327" s="21" t="s">
        <v>5</v>
      </c>
      <c r="D1327" s="21">
        <v>3.12</v>
      </c>
      <c r="E1327" s="279">
        <v>65000.0</v>
      </c>
      <c r="F1327" s="33">
        <f t="shared" ref="F1327:F1332" si="69">ROUND(IFERROR(D1327*E1327,0),0)</f>
        <v>202800</v>
      </c>
    </row>
    <row r="1328" ht="13.5" customHeight="1">
      <c r="A1328" s="21" t="s">
        <v>27</v>
      </c>
      <c r="B1328" s="21" t="s">
        <v>482</v>
      </c>
      <c r="C1328" s="21" t="s">
        <v>483</v>
      </c>
      <c r="D1328" s="21">
        <v>1.0</v>
      </c>
      <c r="E1328" s="279">
        <v>10000.0</v>
      </c>
      <c r="F1328" s="33">
        <f t="shared" si="69"/>
        <v>10000</v>
      </c>
    </row>
    <row r="1329" ht="13.5" customHeight="1">
      <c r="A1329" s="21" t="s">
        <v>32</v>
      </c>
      <c r="B1329" s="21" t="s">
        <v>484</v>
      </c>
      <c r="C1329" s="21" t="s">
        <v>171</v>
      </c>
      <c r="D1329" s="21">
        <v>5.62</v>
      </c>
      <c r="E1329" s="279">
        <v>8.7</v>
      </c>
      <c r="F1329" s="33">
        <f t="shared" si="69"/>
        <v>49</v>
      </c>
    </row>
    <row r="1330" ht="13.5" customHeight="1">
      <c r="A1330" s="21" t="s">
        <v>99</v>
      </c>
      <c r="B1330" s="21" t="s">
        <v>485</v>
      </c>
      <c r="C1330" s="21" t="s">
        <v>171</v>
      </c>
      <c r="D1330" s="21">
        <v>4.68</v>
      </c>
      <c r="E1330" s="279">
        <v>495.8</v>
      </c>
      <c r="F1330" s="33">
        <f t="shared" si="69"/>
        <v>2320</v>
      </c>
    </row>
    <row r="1331" ht="13.5" customHeight="1">
      <c r="A1331" s="21" t="s">
        <v>101</v>
      </c>
      <c r="B1331" s="21" t="s">
        <v>486</v>
      </c>
      <c r="C1331" s="21" t="s">
        <v>171</v>
      </c>
      <c r="D1331" s="21">
        <v>1.87</v>
      </c>
      <c r="E1331" s="279">
        <v>7.8</v>
      </c>
      <c r="F1331" s="33">
        <f t="shared" si="69"/>
        <v>15</v>
      </c>
    </row>
    <row r="1332" ht="13.5" customHeight="1">
      <c r="A1332" s="21" t="s">
        <v>107</v>
      </c>
      <c r="B1332" s="21" t="s">
        <v>487</v>
      </c>
      <c r="C1332" s="21" t="s">
        <v>34</v>
      </c>
      <c r="D1332" s="21">
        <v>1.0</v>
      </c>
      <c r="E1332" s="279">
        <v>1500.0</v>
      </c>
      <c r="F1332" s="33">
        <f t="shared" si="69"/>
        <v>1500</v>
      </c>
    </row>
    <row r="1333" ht="13.5" customHeight="1">
      <c r="D1333" s="7"/>
      <c r="E1333" s="14" t="s">
        <v>37</v>
      </c>
      <c r="F1333" s="46">
        <f>SUM(F1327:F1332)</f>
        <v>216684</v>
      </c>
    </row>
    <row r="1334" ht="13.5" customHeight="1">
      <c r="D1334" s="7"/>
      <c r="E1334" s="9"/>
      <c r="F1334" s="9"/>
    </row>
    <row r="1335" ht="13.5" customHeight="1">
      <c r="A1335" s="14" t="s">
        <v>44</v>
      </c>
      <c r="D1335" s="7"/>
      <c r="E1335" s="9"/>
      <c r="F1335" s="9"/>
    </row>
    <row r="1336" ht="13.5" customHeight="1">
      <c r="A1336" s="18" t="s">
        <v>15</v>
      </c>
      <c r="B1336" s="18" t="s">
        <v>17</v>
      </c>
      <c r="C1336" s="18" t="s">
        <v>18</v>
      </c>
      <c r="D1336" s="18" t="s">
        <v>19</v>
      </c>
      <c r="E1336" s="18" t="s">
        <v>20</v>
      </c>
      <c r="F1336" s="18" t="s">
        <v>21</v>
      </c>
    </row>
    <row r="1337" ht="13.5" customHeight="1">
      <c r="A1337" s="21" t="s">
        <v>22</v>
      </c>
      <c r="B1337" s="21" t="s">
        <v>345</v>
      </c>
      <c r="C1337" s="21" t="s">
        <v>51</v>
      </c>
      <c r="D1337" s="187">
        <f>ROUND(1/B1321,2)</f>
        <v>0.67</v>
      </c>
      <c r="E1337" s="21">
        <v>65000.0</v>
      </c>
      <c r="F1337" s="279">
        <f t="shared" ref="F1337:F1338" si="70">ROUND(IFERROR(D1337*E1337,0),0)</f>
        <v>43550</v>
      </c>
    </row>
    <row r="1338" ht="13.5" customHeight="1">
      <c r="A1338" s="21" t="s">
        <v>27</v>
      </c>
      <c r="B1338" s="21" t="s">
        <v>54</v>
      </c>
      <c r="C1338" s="21" t="s">
        <v>51</v>
      </c>
      <c r="D1338" s="187">
        <f>ROUND(1/B1321,2)</f>
        <v>0.67</v>
      </c>
      <c r="E1338" s="21">
        <v>50000.0</v>
      </c>
      <c r="F1338" s="33">
        <f t="shared" si="70"/>
        <v>33500</v>
      </c>
    </row>
    <row r="1339" ht="13.5" customHeight="1">
      <c r="D1339" s="7"/>
      <c r="E1339" s="14" t="s">
        <v>37</v>
      </c>
      <c r="F1339" s="46">
        <f>SUM(F1337:F1338)</f>
        <v>77050</v>
      </c>
    </row>
    <row r="1340" ht="13.5" customHeight="1">
      <c r="D1340" s="7"/>
      <c r="E1340" s="14" t="s">
        <v>59</v>
      </c>
      <c r="F1340" s="46">
        <f>ROUND(F1339*0.5,0)</f>
        <v>38525</v>
      </c>
    </row>
    <row r="1341" ht="13.5" customHeight="1">
      <c r="D1341" s="7"/>
      <c r="E1341" s="14" t="s">
        <v>60</v>
      </c>
      <c r="F1341" s="46">
        <f>F1339+F1340</f>
        <v>115575</v>
      </c>
    </row>
    <row r="1342" ht="13.5" customHeight="1">
      <c r="D1342" s="7"/>
      <c r="E1342" s="9"/>
      <c r="F1342" s="9"/>
    </row>
    <row r="1343" ht="13.5" customHeight="1">
      <c r="A1343" s="14" t="s">
        <v>62</v>
      </c>
      <c r="D1343" s="7"/>
      <c r="E1343" s="9"/>
      <c r="F1343" s="9"/>
    </row>
    <row r="1344" ht="13.5" customHeight="1">
      <c r="A1344" s="18" t="s">
        <v>15</v>
      </c>
      <c r="B1344" s="18" t="s">
        <v>17</v>
      </c>
      <c r="C1344" s="18" t="s">
        <v>18</v>
      </c>
      <c r="D1344" s="18" t="s">
        <v>19</v>
      </c>
      <c r="E1344" s="18" t="s">
        <v>20</v>
      </c>
      <c r="F1344" s="18" t="s">
        <v>21</v>
      </c>
    </row>
    <row r="1345" ht="13.5" customHeight="1">
      <c r="A1345" s="21" t="s">
        <v>22</v>
      </c>
      <c r="B1345" s="21" t="s">
        <v>394</v>
      </c>
      <c r="C1345" s="21" t="s">
        <v>51</v>
      </c>
      <c r="D1345" s="144">
        <f>ROUND(1/B1321,2)</f>
        <v>0.67</v>
      </c>
      <c r="E1345" s="21">
        <v>45000.0</v>
      </c>
      <c r="F1345" s="33">
        <f>ROUND(IFERROR(D1345*E1345,0),0)</f>
        <v>30150</v>
      </c>
    </row>
    <row r="1346" ht="13.5" customHeight="1">
      <c r="A1346" s="21"/>
      <c r="B1346" s="21"/>
      <c r="C1346" s="21"/>
      <c r="D1346" s="144"/>
      <c r="E1346" s="21"/>
      <c r="F1346" s="33"/>
    </row>
    <row r="1347" ht="13.5" customHeight="1">
      <c r="D1347" s="7"/>
      <c r="E1347" s="14" t="s">
        <v>37</v>
      </c>
      <c r="F1347" s="46">
        <f>SUM(F1345:F1346)</f>
        <v>30150</v>
      </c>
    </row>
    <row r="1348" ht="13.5" customHeight="1">
      <c r="D1348" s="7"/>
      <c r="E1348" s="9"/>
      <c r="F1348" s="9"/>
    </row>
    <row r="1349" ht="13.5" customHeight="1">
      <c r="A1349" s="14" t="s">
        <v>74</v>
      </c>
      <c r="D1349" s="7"/>
      <c r="E1349" s="9"/>
      <c r="F1349" s="9"/>
    </row>
    <row r="1350" ht="13.5" customHeight="1">
      <c r="A1350" s="18"/>
      <c r="B1350" s="18" t="s">
        <v>17</v>
      </c>
      <c r="C1350" s="18" t="s">
        <v>18</v>
      </c>
      <c r="D1350" s="18" t="s">
        <v>19</v>
      </c>
      <c r="E1350" s="18" t="s">
        <v>20</v>
      </c>
      <c r="F1350" s="18" t="s">
        <v>21</v>
      </c>
    </row>
    <row r="1351" ht="13.5" customHeight="1">
      <c r="D1351" s="7"/>
      <c r="E1351" s="14" t="s">
        <v>77</v>
      </c>
      <c r="F1351" s="46">
        <f>F1333+F1341+F1347</f>
        <v>362409</v>
      </c>
    </row>
    <row r="1352" ht="13.5" customHeight="1">
      <c r="D1352" s="7"/>
      <c r="E1352" s="14" t="s">
        <v>6</v>
      </c>
      <c r="F1352" s="46">
        <f>ROUND(F1351*F1322,0)</f>
        <v>54361</v>
      </c>
    </row>
    <row r="1353" ht="13.5" customHeight="1">
      <c r="D1353" s="7"/>
      <c r="E1353" s="14" t="s">
        <v>8</v>
      </c>
      <c r="F1353" s="46">
        <f>ROUND(F1351*F1323,0)</f>
        <v>72482</v>
      </c>
    </row>
    <row r="1354" ht="13.5" customHeight="1">
      <c r="D1354" s="7"/>
      <c r="E1354" s="14" t="s">
        <v>81</v>
      </c>
      <c r="F1354" s="46">
        <f>F1351+F1352+F1353</f>
        <v>489252</v>
      </c>
    </row>
    <row r="1355" ht="13.5" customHeight="1">
      <c r="D1355" s="7"/>
      <c r="E1355" s="14" t="s">
        <v>82</v>
      </c>
      <c r="F1355" s="46">
        <f>ROUND(F1354*F1324,0)</f>
        <v>92958</v>
      </c>
    </row>
    <row r="1356" ht="13.5" customHeight="1">
      <c r="D1356" s="14" t="s">
        <v>425</v>
      </c>
      <c r="E1356" s="18" t="s">
        <v>84</v>
      </c>
      <c r="F1356" s="53">
        <f>F1354+F1355</f>
        <v>582210</v>
      </c>
    </row>
    <row r="1357" ht="13.5" customHeight="1"/>
    <row r="1358" ht="13.5" customHeight="1"/>
    <row r="1359" ht="13.5" customHeight="1"/>
    <row r="1360" ht="13.5" customHeight="1"/>
    <row r="1361" ht="13.5" customHeight="1"/>
    <row r="1362" ht="13.5" customHeight="1"/>
    <row r="1363" ht="13.5" customHeight="1"/>
    <row r="1364" ht="13.5" customHeight="1"/>
    <row r="1365" ht="13.5" customHeight="1">
      <c r="A1365" s="3" t="s">
        <v>1</v>
      </c>
      <c r="B1365" s="5">
        <v>1.5</v>
      </c>
      <c r="C1365" s="3" t="s">
        <v>2</v>
      </c>
      <c r="D1365" s="7"/>
      <c r="E1365" s="3" t="s">
        <v>3</v>
      </c>
      <c r="F1365" s="9"/>
    </row>
    <row r="1366" ht="13.5" customHeight="1">
      <c r="A1366" s="3" t="s">
        <v>4</v>
      </c>
      <c r="B1366" s="5" t="s">
        <v>30</v>
      </c>
      <c r="D1366" s="7"/>
      <c r="E1366" s="3" t="s">
        <v>6</v>
      </c>
      <c r="F1366" s="10">
        <v>0.15</v>
      </c>
    </row>
    <row r="1367" ht="13.5" customHeight="1">
      <c r="D1367" s="7"/>
      <c r="E1367" s="3" t="s">
        <v>8</v>
      </c>
      <c r="F1367" s="10">
        <v>0.2</v>
      </c>
    </row>
    <row r="1368" ht="13.5" customHeight="1">
      <c r="B1368" s="5" t="s">
        <v>489</v>
      </c>
      <c r="D1368" s="7"/>
      <c r="E1368" s="3" t="s">
        <v>10</v>
      </c>
      <c r="F1368" s="10">
        <v>0.19</v>
      </c>
    </row>
    <row r="1369" ht="13.5" customHeight="1">
      <c r="A1369" s="14" t="s">
        <v>11</v>
      </c>
      <c r="D1369" s="7"/>
      <c r="E1369" s="9"/>
      <c r="F1369" s="9"/>
    </row>
    <row r="1370" ht="13.5" customHeight="1">
      <c r="A1370" s="18" t="s">
        <v>15</v>
      </c>
      <c r="B1370" s="18" t="s">
        <v>17</v>
      </c>
      <c r="C1370" s="18" t="s">
        <v>18</v>
      </c>
      <c r="D1370" s="18" t="s">
        <v>19</v>
      </c>
      <c r="E1370" s="18" t="s">
        <v>20</v>
      </c>
      <c r="F1370" s="18" t="s">
        <v>21</v>
      </c>
    </row>
    <row r="1371" ht="13.5" customHeight="1">
      <c r="A1371" s="21" t="s">
        <v>22</v>
      </c>
      <c r="B1371" s="21" t="s">
        <v>481</v>
      </c>
      <c r="C1371" s="21" t="s">
        <v>5</v>
      </c>
      <c r="D1371" s="21">
        <v>4.72</v>
      </c>
      <c r="E1371" s="279">
        <v>65000.0</v>
      </c>
      <c r="F1371" s="33">
        <f t="shared" ref="F1371:F1376" si="71">ROUND(IFERROR(D1371*E1371,0),0)</f>
        <v>306800</v>
      </c>
    </row>
    <row r="1372" ht="13.5" customHeight="1">
      <c r="A1372" s="21" t="s">
        <v>27</v>
      </c>
      <c r="B1372" s="21" t="s">
        <v>482</v>
      </c>
      <c r="C1372" s="21" t="s">
        <v>483</v>
      </c>
      <c r="D1372" s="21">
        <v>1.0</v>
      </c>
      <c r="E1372" s="279">
        <v>10000.0</v>
      </c>
      <c r="F1372" s="33">
        <f t="shared" si="71"/>
        <v>10000</v>
      </c>
    </row>
    <row r="1373" ht="13.5" customHeight="1">
      <c r="A1373" s="21" t="s">
        <v>32</v>
      </c>
      <c r="B1373" s="21" t="s">
        <v>484</v>
      </c>
      <c r="C1373" s="21" t="s">
        <v>171</v>
      </c>
      <c r="D1373" s="21">
        <v>8.5</v>
      </c>
      <c r="E1373" s="279">
        <v>8.7</v>
      </c>
      <c r="F1373" s="33">
        <f t="shared" si="71"/>
        <v>74</v>
      </c>
    </row>
    <row r="1374" ht="13.5" customHeight="1">
      <c r="A1374" s="21" t="s">
        <v>99</v>
      </c>
      <c r="B1374" s="21" t="s">
        <v>485</v>
      </c>
      <c r="C1374" s="21" t="s">
        <v>171</v>
      </c>
      <c r="D1374" s="21">
        <v>7.08</v>
      </c>
      <c r="E1374" s="279">
        <v>495.8</v>
      </c>
      <c r="F1374" s="33">
        <f t="shared" si="71"/>
        <v>3510</v>
      </c>
    </row>
    <row r="1375" ht="13.5" customHeight="1">
      <c r="A1375" s="21" t="s">
        <v>101</v>
      </c>
      <c r="B1375" s="21" t="s">
        <v>486</v>
      </c>
      <c r="C1375" s="21" t="s">
        <v>171</v>
      </c>
      <c r="D1375" s="21">
        <v>2.83</v>
      </c>
      <c r="E1375" s="279">
        <v>7.8</v>
      </c>
      <c r="F1375" s="33">
        <f t="shared" si="71"/>
        <v>22</v>
      </c>
    </row>
    <row r="1376" ht="13.5" customHeight="1">
      <c r="A1376" s="21" t="s">
        <v>107</v>
      </c>
      <c r="B1376" s="21" t="s">
        <v>487</v>
      </c>
      <c r="C1376" s="21" t="s">
        <v>34</v>
      </c>
      <c r="D1376" s="21">
        <v>1.0</v>
      </c>
      <c r="E1376" s="279">
        <v>1500.0</v>
      </c>
      <c r="F1376" s="33">
        <f t="shared" si="71"/>
        <v>1500</v>
      </c>
    </row>
    <row r="1377" ht="13.5" customHeight="1">
      <c r="D1377" s="7"/>
      <c r="E1377" s="14" t="s">
        <v>37</v>
      </c>
      <c r="F1377" s="46">
        <f>SUM(F1371:F1376)</f>
        <v>321906</v>
      </c>
    </row>
    <row r="1378" ht="13.5" customHeight="1">
      <c r="D1378" s="7"/>
      <c r="E1378" s="9"/>
      <c r="F1378" s="9"/>
    </row>
    <row r="1379" ht="13.5" customHeight="1">
      <c r="A1379" s="14" t="s">
        <v>44</v>
      </c>
      <c r="D1379" s="7"/>
      <c r="E1379" s="9"/>
      <c r="F1379" s="9"/>
    </row>
    <row r="1380" ht="13.5" customHeight="1">
      <c r="A1380" s="18" t="s">
        <v>15</v>
      </c>
      <c r="B1380" s="18" t="s">
        <v>17</v>
      </c>
      <c r="C1380" s="18" t="s">
        <v>18</v>
      </c>
      <c r="D1380" s="18" t="s">
        <v>19</v>
      </c>
      <c r="E1380" s="18" t="s">
        <v>20</v>
      </c>
      <c r="F1380" s="18" t="s">
        <v>21</v>
      </c>
    </row>
    <row r="1381" ht="13.5" customHeight="1">
      <c r="A1381" s="21" t="s">
        <v>22</v>
      </c>
      <c r="B1381" s="21" t="s">
        <v>345</v>
      </c>
      <c r="C1381" s="21" t="s">
        <v>51</v>
      </c>
      <c r="D1381" s="187">
        <f>ROUND(1/B1365,2)</f>
        <v>0.67</v>
      </c>
      <c r="E1381" s="21">
        <v>65000.0</v>
      </c>
      <c r="F1381" s="33">
        <f t="shared" ref="F1381:F1382" si="72">ROUND(IFERROR(D1381*E1381,0),0)</f>
        <v>43550</v>
      </c>
    </row>
    <row r="1382" ht="13.5" customHeight="1">
      <c r="A1382" s="21" t="s">
        <v>27</v>
      </c>
      <c r="B1382" s="21" t="s">
        <v>54</v>
      </c>
      <c r="C1382" s="21" t="s">
        <v>51</v>
      </c>
      <c r="D1382" s="187">
        <f>ROUND(1/B1365,2)</f>
        <v>0.67</v>
      </c>
      <c r="E1382" s="21">
        <v>50000.0</v>
      </c>
      <c r="F1382" s="33">
        <f t="shared" si="72"/>
        <v>33500</v>
      </c>
    </row>
    <row r="1383" ht="13.5" customHeight="1">
      <c r="D1383" s="7"/>
      <c r="E1383" s="14" t="s">
        <v>37</v>
      </c>
      <c r="F1383" s="46">
        <f>SUM(F1381:F1382)</f>
        <v>77050</v>
      </c>
    </row>
    <row r="1384" ht="13.5" customHeight="1">
      <c r="D1384" s="7"/>
      <c r="E1384" s="14" t="s">
        <v>59</v>
      </c>
      <c r="F1384" s="46">
        <f>ROUND(F1383*0.5,0)</f>
        <v>38525</v>
      </c>
    </row>
    <row r="1385" ht="13.5" customHeight="1">
      <c r="D1385" s="7"/>
      <c r="E1385" s="14" t="s">
        <v>60</v>
      </c>
      <c r="F1385" s="46">
        <f>F1383+F1384</f>
        <v>115575</v>
      </c>
    </row>
    <row r="1386" ht="13.5" customHeight="1">
      <c r="D1386" s="7"/>
      <c r="E1386" s="9"/>
      <c r="F1386" s="9"/>
    </row>
    <row r="1387" ht="13.5" customHeight="1">
      <c r="A1387" s="14" t="s">
        <v>62</v>
      </c>
      <c r="D1387" s="7"/>
      <c r="E1387" s="9"/>
      <c r="F1387" s="9"/>
    </row>
    <row r="1388" ht="13.5" customHeight="1">
      <c r="A1388" s="18" t="s">
        <v>15</v>
      </c>
      <c r="B1388" s="18" t="s">
        <v>17</v>
      </c>
      <c r="C1388" s="18" t="s">
        <v>18</v>
      </c>
      <c r="D1388" s="18" t="s">
        <v>19</v>
      </c>
      <c r="E1388" s="18" t="s">
        <v>20</v>
      </c>
      <c r="F1388" s="18" t="s">
        <v>21</v>
      </c>
    </row>
    <row r="1389" ht="13.5" customHeight="1">
      <c r="A1389" s="21" t="s">
        <v>22</v>
      </c>
      <c r="B1389" s="21" t="s">
        <v>394</v>
      </c>
      <c r="C1389" s="21" t="s">
        <v>51</v>
      </c>
      <c r="D1389" s="144">
        <f>ROUND(1/B1365,2)</f>
        <v>0.67</v>
      </c>
      <c r="E1389" s="21">
        <v>45000.0</v>
      </c>
      <c r="F1389" s="33">
        <f>ROUND(IFERROR(D1389*E1389,0),0)</f>
        <v>30150</v>
      </c>
    </row>
    <row r="1390" ht="13.5" customHeight="1">
      <c r="A1390" s="21"/>
      <c r="B1390" s="21"/>
      <c r="C1390" s="21"/>
      <c r="D1390" s="144"/>
      <c r="E1390" s="21"/>
      <c r="F1390" s="33"/>
    </row>
    <row r="1391" ht="13.5" customHeight="1">
      <c r="D1391" s="7"/>
      <c r="E1391" s="14" t="s">
        <v>37</v>
      </c>
      <c r="F1391" s="46">
        <f>SUM(F1389:F1390)</f>
        <v>30150</v>
      </c>
    </row>
    <row r="1392" ht="13.5" customHeight="1">
      <c r="D1392" s="7"/>
      <c r="E1392" s="9"/>
      <c r="F1392" s="9"/>
    </row>
    <row r="1393" ht="13.5" customHeight="1">
      <c r="A1393" s="14" t="s">
        <v>74</v>
      </c>
      <c r="D1393" s="7"/>
      <c r="E1393" s="9"/>
      <c r="F1393" s="9"/>
    </row>
    <row r="1394" ht="13.5" customHeight="1">
      <c r="A1394" s="18"/>
      <c r="B1394" s="18" t="s">
        <v>17</v>
      </c>
      <c r="C1394" s="18" t="s">
        <v>18</v>
      </c>
      <c r="D1394" s="18" t="s">
        <v>19</v>
      </c>
      <c r="E1394" s="18" t="s">
        <v>20</v>
      </c>
      <c r="F1394" s="18" t="s">
        <v>21</v>
      </c>
    </row>
    <row r="1395" ht="13.5" customHeight="1">
      <c r="D1395" s="7"/>
      <c r="E1395" s="14" t="s">
        <v>77</v>
      </c>
      <c r="F1395" s="46">
        <f>F1377+F1385+F1391</f>
        <v>467631</v>
      </c>
    </row>
    <row r="1396" ht="13.5" customHeight="1">
      <c r="D1396" s="7"/>
      <c r="E1396" s="14" t="s">
        <v>6</v>
      </c>
      <c r="F1396" s="46">
        <f>ROUND(F1395*F1366,0)</f>
        <v>70145</v>
      </c>
    </row>
    <row r="1397" ht="13.5" customHeight="1">
      <c r="D1397" s="7"/>
      <c r="E1397" s="14" t="s">
        <v>8</v>
      </c>
      <c r="F1397" s="46">
        <f>ROUND(F1395*F1367,0)</f>
        <v>93526</v>
      </c>
    </row>
    <row r="1398" ht="13.5" customHeight="1">
      <c r="D1398" s="7"/>
      <c r="E1398" s="14" t="s">
        <v>81</v>
      </c>
      <c r="F1398" s="46">
        <f>F1395+F1396+F1397</f>
        <v>631302</v>
      </c>
    </row>
    <row r="1399" ht="13.5" customHeight="1">
      <c r="D1399" s="7"/>
      <c r="E1399" s="14" t="s">
        <v>82</v>
      </c>
      <c r="F1399" s="46">
        <f>ROUND(F1398*F1368,0)</f>
        <v>119947</v>
      </c>
    </row>
    <row r="1400" ht="13.5" customHeight="1">
      <c r="D1400" s="14" t="s">
        <v>425</v>
      </c>
      <c r="E1400" s="18" t="s">
        <v>84</v>
      </c>
      <c r="F1400" s="53">
        <f>F1398+F1399</f>
        <v>751249</v>
      </c>
    </row>
    <row r="1401" ht="13.5" customHeight="1">
      <c r="F1401" s="48"/>
    </row>
    <row r="1402" ht="13.5" customHeight="1"/>
    <row r="1403" ht="13.5" customHeight="1"/>
    <row r="1404" ht="13.5" customHeight="1"/>
    <row r="1405" ht="13.5" customHeight="1"/>
    <row r="1406" ht="13.5" customHeight="1"/>
    <row r="1407" ht="13.5" customHeight="1"/>
    <row r="1408" ht="13.5" customHeight="1"/>
    <row r="1409" ht="13.5" customHeight="1">
      <c r="A1409" s="3" t="s">
        <v>1</v>
      </c>
      <c r="B1409" s="5">
        <v>1.5</v>
      </c>
      <c r="C1409" s="3" t="s">
        <v>2</v>
      </c>
      <c r="D1409" s="7"/>
      <c r="E1409" s="3" t="s">
        <v>3</v>
      </c>
      <c r="F1409" s="9"/>
    </row>
    <row r="1410" ht="13.5" customHeight="1">
      <c r="A1410" s="3" t="s">
        <v>4</v>
      </c>
      <c r="B1410" s="5" t="s">
        <v>30</v>
      </c>
      <c r="D1410" s="7"/>
      <c r="E1410" s="3" t="s">
        <v>6</v>
      </c>
      <c r="F1410" s="10">
        <v>0.15</v>
      </c>
    </row>
    <row r="1411" ht="13.5" customHeight="1">
      <c r="D1411" s="7"/>
      <c r="E1411" s="3" t="s">
        <v>8</v>
      </c>
      <c r="F1411" s="10">
        <v>0.2</v>
      </c>
    </row>
    <row r="1412" ht="13.5" customHeight="1">
      <c r="B1412" s="5" t="s">
        <v>490</v>
      </c>
      <c r="D1412" s="7"/>
      <c r="E1412" s="3" t="s">
        <v>10</v>
      </c>
      <c r="F1412" s="10">
        <v>0.19</v>
      </c>
    </row>
    <row r="1413" ht="13.5" customHeight="1">
      <c r="A1413" s="14" t="s">
        <v>11</v>
      </c>
      <c r="D1413" s="7"/>
      <c r="E1413" s="9"/>
      <c r="F1413" s="9"/>
    </row>
    <row r="1414" ht="13.5" customHeight="1">
      <c r="A1414" s="18" t="s">
        <v>15</v>
      </c>
      <c r="B1414" s="18" t="s">
        <v>17</v>
      </c>
      <c r="C1414" s="18" t="s">
        <v>18</v>
      </c>
      <c r="D1414" s="18" t="s">
        <v>19</v>
      </c>
      <c r="E1414" s="18" t="s">
        <v>20</v>
      </c>
      <c r="F1414" s="18" t="s">
        <v>21</v>
      </c>
    </row>
    <row r="1415" ht="13.5" customHeight="1">
      <c r="A1415" s="21" t="s">
        <v>22</v>
      </c>
      <c r="B1415" s="21" t="s">
        <v>481</v>
      </c>
      <c r="C1415" s="21" t="s">
        <v>5</v>
      </c>
      <c r="D1415" s="21">
        <f>ROUND(0.945,2)</f>
        <v>0.95</v>
      </c>
      <c r="E1415" s="279">
        <v>65000.0</v>
      </c>
      <c r="F1415" s="33">
        <f t="shared" ref="F1415:F1420" si="73">ROUND(IFERROR(D1415*E1415,0),0)</f>
        <v>61750</v>
      </c>
    </row>
    <row r="1416" ht="13.5" customHeight="1">
      <c r="A1416" s="21" t="s">
        <v>27</v>
      </c>
      <c r="B1416" s="21" t="s">
        <v>482</v>
      </c>
      <c r="C1416" s="21" t="s">
        <v>483</v>
      </c>
      <c r="D1416" s="21">
        <v>1.0</v>
      </c>
      <c r="E1416" s="279">
        <v>10000.0</v>
      </c>
      <c r="F1416" s="33">
        <f t="shared" si="73"/>
        <v>10000</v>
      </c>
    </row>
    <row r="1417" ht="13.5" customHeight="1">
      <c r="A1417" s="21" t="s">
        <v>32</v>
      </c>
      <c r="B1417" s="21" t="s">
        <v>484</v>
      </c>
      <c r="C1417" s="21" t="s">
        <v>171</v>
      </c>
      <c r="D1417" s="21">
        <v>1.7</v>
      </c>
      <c r="E1417" s="279">
        <v>8.7</v>
      </c>
      <c r="F1417" s="33">
        <f t="shared" si="73"/>
        <v>15</v>
      </c>
    </row>
    <row r="1418" ht="13.5" customHeight="1">
      <c r="A1418" s="21" t="s">
        <v>99</v>
      </c>
      <c r="B1418" s="21" t="s">
        <v>485</v>
      </c>
      <c r="C1418" s="21" t="s">
        <v>171</v>
      </c>
      <c r="D1418" s="21">
        <v>1.42</v>
      </c>
      <c r="E1418" s="279">
        <v>495.8</v>
      </c>
      <c r="F1418" s="33">
        <f t="shared" si="73"/>
        <v>704</v>
      </c>
    </row>
    <row r="1419" ht="13.5" customHeight="1">
      <c r="A1419" s="21" t="s">
        <v>101</v>
      </c>
      <c r="B1419" s="21" t="s">
        <v>486</v>
      </c>
      <c r="C1419" s="21" t="s">
        <v>171</v>
      </c>
      <c r="D1419" s="21">
        <v>0.57</v>
      </c>
      <c r="E1419" s="279">
        <v>7.8</v>
      </c>
      <c r="F1419" s="33">
        <f t="shared" si="73"/>
        <v>4</v>
      </c>
    </row>
    <row r="1420" ht="13.5" customHeight="1">
      <c r="A1420" s="21" t="s">
        <v>107</v>
      </c>
      <c r="B1420" s="21" t="s">
        <v>487</v>
      </c>
      <c r="C1420" s="21" t="s">
        <v>34</v>
      </c>
      <c r="D1420" s="21">
        <v>1.0</v>
      </c>
      <c r="E1420" s="279">
        <v>1500.0</v>
      </c>
      <c r="F1420" s="33">
        <f t="shared" si="73"/>
        <v>1500</v>
      </c>
    </row>
    <row r="1421" ht="13.5" customHeight="1">
      <c r="D1421" s="7"/>
      <c r="E1421" s="14" t="s">
        <v>37</v>
      </c>
      <c r="F1421" s="46">
        <f>SUM(F1415:F1420)</f>
        <v>73973</v>
      </c>
    </row>
    <row r="1422" ht="13.5" customHeight="1">
      <c r="D1422" s="7"/>
      <c r="E1422" s="9"/>
      <c r="F1422" s="9"/>
    </row>
    <row r="1423" ht="13.5" customHeight="1">
      <c r="A1423" s="14" t="s">
        <v>44</v>
      </c>
      <c r="D1423" s="7"/>
      <c r="E1423" s="9"/>
      <c r="F1423" s="9"/>
    </row>
    <row r="1424" ht="13.5" customHeight="1">
      <c r="A1424" s="18" t="s">
        <v>15</v>
      </c>
      <c r="B1424" s="18" t="s">
        <v>17</v>
      </c>
      <c r="C1424" s="18" t="s">
        <v>18</v>
      </c>
      <c r="D1424" s="18" t="s">
        <v>19</v>
      </c>
      <c r="E1424" s="18" t="s">
        <v>20</v>
      </c>
      <c r="F1424" s="18" t="s">
        <v>21</v>
      </c>
    </row>
    <row r="1425" ht="13.5" customHeight="1">
      <c r="A1425" s="21" t="s">
        <v>22</v>
      </c>
      <c r="B1425" s="21" t="s">
        <v>345</v>
      </c>
      <c r="C1425" s="21" t="s">
        <v>51</v>
      </c>
      <c r="D1425" s="187">
        <f>ROUND(1/B1409,2)</f>
        <v>0.67</v>
      </c>
      <c r="E1425" s="21">
        <v>65000.0</v>
      </c>
      <c r="F1425" s="33">
        <f t="shared" ref="F1425:F1426" si="74">ROUND(IFERROR(D1425*E1425,0),0)</f>
        <v>43550</v>
      </c>
    </row>
    <row r="1426" ht="13.5" customHeight="1">
      <c r="A1426" s="21" t="s">
        <v>27</v>
      </c>
      <c r="B1426" s="21" t="s">
        <v>54</v>
      </c>
      <c r="C1426" s="21" t="s">
        <v>51</v>
      </c>
      <c r="D1426" s="187">
        <f>ROUND(1/B1409,2)</f>
        <v>0.67</v>
      </c>
      <c r="E1426" s="21">
        <v>50000.0</v>
      </c>
      <c r="F1426" s="33">
        <f t="shared" si="74"/>
        <v>33500</v>
      </c>
    </row>
    <row r="1427" ht="13.5" customHeight="1">
      <c r="D1427" s="7"/>
      <c r="E1427" s="14" t="s">
        <v>37</v>
      </c>
      <c r="F1427" s="46">
        <f>SUM(F1425:F1426)</f>
        <v>77050</v>
      </c>
    </row>
    <row r="1428" ht="13.5" customHeight="1">
      <c r="D1428" s="7"/>
      <c r="E1428" s="14" t="s">
        <v>59</v>
      </c>
      <c r="F1428" s="46">
        <f>ROUND(F1427*0.5,0)</f>
        <v>38525</v>
      </c>
    </row>
    <row r="1429" ht="13.5" customHeight="1">
      <c r="D1429" s="7"/>
      <c r="E1429" s="14" t="s">
        <v>60</v>
      </c>
      <c r="F1429" s="46">
        <f>F1427+F1428</f>
        <v>115575</v>
      </c>
    </row>
    <row r="1430" ht="13.5" customHeight="1">
      <c r="D1430" s="7"/>
      <c r="E1430" s="9"/>
      <c r="F1430" s="9"/>
    </row>
    <row r="1431" ht="13.5" customHeight="1">
      <c r="A1431" s="14" t="s">
        <v>62</v>
      </c>
      <c r="D1431" s="7"/>
      <c r="E1431" s="9"/>
      <c r="F1431" s="9"/>
    </row>
    <row r="1432" ht="13.5" customHeight="1">
      <c r="A1432" s="18" t="s">
        <v>15</v>
      </c>
      <c r="B1432" s="18" t="s">
        <v>17</v>
      </c>
      <c r="C1432" s="18" t="s">
        <v>18</v>
      </c>
      <c r="D1432" s="18" t="s">
        <v>19</v>
      </c>
      <c r="E1432" s="18" t="s">
        <v>20</v>
      </c>
      <c r="F1432" s="18" t="s">
        <v>21</v>
      </c>
    </row>
    <row r="1433" ht="13.5" customHeight="1">
      <c r="A1433" s="21" t="s">
        <v>22</v>
      </c>
      <c r="B1433" s="21" t="s">
        <v>394</v>
      </c>
      <c r="C1433" s="21" t="s">
        <v>51</v>
      </c>
      <c r="D1433" s="144">
        <f>ROUND(1/B1409,2)</f>
        <v>0.67</v>
      </c>
      <c r="E1433" s="21">
        <v>45000.0</v>
      </c>
      <c r="F1433" s="33">
        <f>ROUND(IFERROR(D1433*E1433,0),0)</f>
        <v>30150</v>
      </c>
    </row>
    <row r="1434" ht="13.5" customHeight="1">
      <c r="A1434" s="21"/>
      <c r="B1434" s="21"/>
      <c r="C1434" s="21"/>
      <c r="D1434" s="144"/>
      <c r="E1434" s="21"/>
      <c r="F1434" s="33"/>
    </row>
    <row r="1435" ht="13.5" customHeight="1">
      <c r="D1435" s="7"/>
      <c r="E1435" s="14" t="s">
        <v>37</v>
      </c>
      <c r="F1435" s="46">
        <f>SUM(F1433:F1434)</f>
        <v>30150</v>
      </c>
    </row>
    <row r="1436" ht="13.5" customHeight="1">
      <c r="D1436" s="7"/>
      <c r="E1436" s="9"/>
      <c r="F1436" s="9"/>
    </row>
    <row r="1437" ht="13.5" customHeight="1">
      <c r="A1437" s="14" t="s">
        <v>74</v>
      </c>
      <c r="D1437" s="7"/>
      <c r="E1437" s="9"/>
      <c r="F1437" s="9"/>
    </row>
    <row r="1438" ht="13.5" customHeight="1">
      <c r="A1438" s="18"/>
      <c r="B1438" s="18" t="s">
        <v>17</v>
      </c>
      <c r="C1438" s="18" t="s">
        <v>18</v>
      </c>
      <c r="D1438" s="18" t="s">
        <v>19</v>
      </c>
      <c r="E1438" s="18" t="s">
        <v>20</v>
      </c>
      <c r="F1438" s="18" t="s">
        <v>21</v>
      </c>
    </row>
    <row r="1439" ht="13.5" customHeight="1">
      <c r="D1439" s="7"/>
      <c r="E1439" s="14" t="s">
        <v>77</v>
      </c>
      <c r="F1439" s="46">
        <f>F1421+F1429+F1435</f>
        <v>219698</v>
      </c>
    </row>
    <row r="1440" ht="13.5" customHeight="1">
      <c r="D1440" s="7"/>
      <c r="E1440" s="14" t="s">
        <v>6</v>
      </c>
      <c r="F1440" s="46">
        <f>ROUND(F1439*F1410,0)</f>
        <v>32955</v>
      </c>
    </row>
    <row r="1441" ht="13.5" customHeight="1">
      <c r="D1441" s="7"/>
      <c r="E1441" s="14" t="s">
        <v>8</v>
      </c>
      <c r="F1441" s="46">
        <f>ROUND(F1439*F1411,0)</f>
        <v>43940</v>
      </c>
    </row>
    <row r="1442" ht="13.5" customHeight="1">
      <c r="D1442" s="7"/>
      <c r="E1442" s="14" t="s">
        <v>81</v>
      </c>
      <c r="F1442" s="46">
        <f>F1439+F1440+F1441</f>
        <v>296593</v>
      </c>
    </row>
    <row r="1443" ht="13.5" customHeight="1">
      <c r="D1443" s="7"/>
      <c r="E1443" s="14" t="s">
        <v>82</v>
      </c>
      <c r="F1443" s="46">
        <f>ROUND(F1442*F1412,0)</f>
        <v>56353</v>
      </c>
    </row>
    <row r="1444" ht="13.5" customHeight="1">
      <c r="D1444" s="14" t="s">
        <v>425</v>
      </c>
      <c r="E1444" s="18" t="s">
        <v>84</v>
      </c>
      <c r="F1444" s="53">
        <f>F1442+F1443</f>
        <v>352946</v>
      </c>
    </row>
    <row r="1445" ht="13.5" customHeight="1"/>
    <row r="1446" ht="13.5" customHeight="1"/>
    <row r="1447" ht="13.5" customHeight="1"/>
    <row r="1448" ht="13.5" customHeight="1"/>
    <row r="1449" ht="13.5" customHeight="1"/>
    <row r="1450" ht="13.5" customHeight="1"/>
    <row r="1451" ht="13.5" customHeight="1"/>
    <row r="1452" ht="13.5" customHeight="1"/>
    <row r="1453" ht="13.5" customHeight="1">
      <c r="A1453" s="3" t="s">
        <v>1</v>
      </c>
      <c r="B1453" s="5">
        <v>1.5</v>
      </c>
      <c r="C1453" s="3" t="s">
        <v>2</v>
      </c>
      <c r="D1453" s="7"/>
      <c r="E1453" s="3" t="s">
        <v>3</v>
      </c>
      <c r="F1453" s="9"/>
    </row>
    <row r="1454" ht="13.5" customHeight="1">
      <c r="A1454" s="3" t="s">
        <v>4</v>
      </c>
      <c r="B1454" s="5" t="s">
        <v>30</v>
      </c>
      <c r="D1454" s="7"/>
      <c r="E1454" s="3" t="s">
        <v>6</v>
      </c>
      <c r="F1454" s="10">
        <v>0.15</v>
      </c>
    </row>
    <row r="1455" ht="13.5" customHeight="1">
      <c r="D1455" s="7"/>
      <c r="E1455" s="3" t="s">
        <v>8</v>
      </c>
      <c r="F1455" s="10">
        <v>0.2</v>
      </c>
    </row>
    <row r="1456" ht="13.5" customHeight="1">
      <c r="B1456" s="5" t="s">
        <v>491</v>
      </c>
      <c r="D1456" s="7"/>
      <c r="E1456" s="3" t="s">
        <v>10</v>
      </c>
      <c r="F1456" s="10">
        <v>0.19</v>
      </c>
    </row>
    <row r="1457" ht="13.5" customHeight="1">
      <c r="A1457" s="14" t="s">
        <v>11</v>
      </c>
      <c r="D1457" s="7"/>
      <c r="E1457" s="9"/>
      <c r="F1457" s="9"/>
    </row>
    <row r="1458" ht="13.5" customHeight="1">
      <c r="A1458" s="18" t="s">
        <v>15</v>
      </c>
      <c r="B1458" s="18" t="s">
        <v>17</v>
      </c>
      <c r="C1458" s="18" t="s">
        <v>18</v>
      </c>
      <c r="D1458" s="18" t="s">
        <v>19</v>
      </c>
      <c r="E1458" s="18" t="s">
        <v>20</v>
      </c>
      <c r="F1458" s="18" t="s">
        <v>21</v>
      </c>
    </row>
    <row r="1459" ht="13.5" customHeight="1">
      <c r="A1459" s="21" t="s">
        <v>22</v>
      </c>
      <c r="B1459" s="21" t="s">
        <v>481</v>
      </c>
      <c r="C1459" s="21" t="s">
        <v>5</v>
      </c>
      <c r="D1459" s="21">
        <f>+ROUND(1.425,2)</f>
        <v>1.43</v>
      </c>
      <c r="E1459" s="279">
        <v>65000.0</v>
      </c>
      <c r="F1459" s="33">
        <f t="shared" ref="F1459:F1464" si="75">ROUND(IFERROR(D1459*E1459,0),0)</f>
        <v>92950</v>
      </c>
    </row>
    <row r="1460" ht="13.5" customHeight="1">
      <c r="A1460" s="21" t="s">
        <v>27</v>
      </c>
      <c r="B1460" s="21" t="s">
        <v>482</v>
      </c>
      <c r="C1460" s="21" t="s">
        <v>483</v>
      </c>
      <c r="D1460" s="21">
        <v>1.0</v>
      </c>
      <c r="E1460" s="279">
        <v>10000.0</v>
      </c>
      <c r="F1460" s="33">
        <f t="shared" si="75"/>
        <v>10000</v>
      </c>
    </row>
    <row r="1461" ht="13.5" customHeight="1">
      <c r="A1461" s="21" t="s">
        <v>32</v>
      </c>
      <c r="B1461" s="21" t="s">
        <v>484</v>
      </c>
      <c r="C1461" s="21" t="s">
        <v>171</v>
      </c>
      <c r="D1461" s="21">
        <v>2.56</v>
      </c>
      <c r="E1461" s="279">
        <v>8.7</v>
      </c>
      <c r="F1461" s="33">
        <f t="shared" si="75"/>
        <v>22</v>
      </c>
    </row>
    <row r="1462" ht="13.5" customHeight="1">
      <c r="A1462" s="21" t="s">
        <v>99</v>
      </c>
      <c r="B1462" s="21" t="s">
        <v>485</v>
      </c>
      <c r="C1462" s="21" t="s">
        <v>171</v>
      </c>
      <c r="D1462" s="21">
        <v>2.14</v>
      </c>
      <c r="E1462" s="279">
        <v>495.8</v>
      </c>
      <c r="F1462" s="33">
        <f t="shared" si="75"/>
        <v>1061</v>
      </c>
    </row>
    <row r="1463" ht="13.5" customHeight="1">
      <c r="A1463" s="21" t="s">
        <v>101</v>
      </c>
      <c r="B1463" s="21" t="s">
        <v>486</v>
      </c>
      <c r="C1463" s="21" t="s">
        <v>171</v>
      </c>
      <c r="D1463" s="21">
        <v>0.85</v>
      </c>
      <c r="E1463" s="279">
        <v>7.8</v>
      </c>
      <c r="F1463" s="33">
        <f t="shared" si="75"/>
        <v>7</v>
      </c>
    </row>
    <row r="1464" ht="13.5" customHeight="1">
      <c r="A1464" s="21" t="s">
        <v>107</v>
      </c>
      <c r="B1464" s="21" t="s">
        <v>487</v>
      </c>
      <c r="C1464" s="21" t="s">
        <v>34</v>
      </c>
      <c r="D1464" s="21">
        <v>1.0</v>
      </c>
      <c r="E1464" s="279">
        <v>1500.0</v>
      </c>
      <c r="F1464" s="33">
        <f t="shared" si="75"/>
        <v>1500</v>
      </c>
    </row>
    <row r="1465" ht="13.5" customHeight="1">
      <c r="D1465" s="7"/>
      <c r="E1465" s="14" t="s">
        <v>37</v>
      </c>
      <c r="F1465" s="46">
        <f>SUM(F1459:F1464)</f>
        <v>105540</v>
      </c>
    </row>
    <row r="1466" ht="13.5" customHeight="1">
      <c r="D1466" s="7"/>
      <c r="E1466" s="9"/>
      <c r="F1466" s="9"/>
    </row>
    <row r="1467" ht="13.5" customHeight="1">
      <c r="A1467" s="14" t="s">
        <v>44</v>
      </c>
      <c r="D1467" s="7"/>
      <c r="E1467" s="9"/>
      <c r="F1467" s="9"/>
    </row>
    <row r="1468" ht="13.5" customHeight="1">
      <c r="A1468" s="18" t="s">
        <v>15</v>
      </c>
      <c r="B1468" s="18" t="s">
        <v>17</v>
      </c>
      <c r="C1468" s="18" t="s">
        <v>18</v>
      </c>
      <c r="D1468" s="18" t="s">
        <v>19</v>
      </c>
      <c r="E1468" s="18" t="s">
        <v>20</v>
      </c>
      <c r="F1468" s="18" t="s">
        <v>21</v>
      </c>
    </row>
    <row r="1469" ht="13.5" customHeight="1">
      <c r="A1469" s="21" t="s">
        <v>22</v>
      </c>
      <c r="B1469" s="21" t="s">
        <v>345</v>
      </c>
      <c r="C1469" s="21" t="s">
        <v>51</v>
      </c>
      <c r="D1469" s="187">
        <f>ROUND(1/B1453,2)</f>
        <v>0.67</v>
      </c>
      <c r="E1469" s="21">
        <v>65000.0</v>
      </c>
      <c r="F1469" s="33">
        <f t="shared" ref="F1469:F1470" si="76">ROUND(IFERROR(D1469*E1469,0),0)</f>
        <v>43550</v>
      </c>
    </row>
    <row r="1470" ht="13.5" customHeight="1">
      <c r="A1470" s="21" t="s">
        <v>27</v>
      </c>
      <c r="B1470" s="21" t="s">
        <v>54</v>
      </c>
      <c r="C1470" s="21" t="s">
        <v>51</v>
      </c>
      <c r="D1470" s="187">
        <f>ROUND(1/B1453,2)</f>
        <v>0.67</v>
      </c>
      <c r="E1470" s="21">
        <v>50000.0</v>
      </c>
      <c r="F1470" s="33">
        <f t="shared" si="76"/>
        <v>33500</v>
      </c>
    </row>
    <row r="1471" ht="13.5" customHeight="1">
      <c r="D1471" s="7"/>
      <c r="E1471" s="14" t="s">
        <v>37</v>
      </c>
      <c r="F1471" s="46">
        <f>SUM(F1469:F1470)</f>
        <v>77050</v>
      </c>
    </row>
    <row r="1472" ht="13.5" customHeight="1">
      <c r="D1472" s="7"/>
      <c r="E1472" s="14" t="s">
        <v>59</v>
      </c>
      <c r="F1472" s="46">
        <f>ROUND(F1471*0.5,0)</f>
        <v>38525</v>
      </c>
    </row>
    <row r="1473" ht="13.5" customHeight="1">
      <c r="D1473" s="7"/>
      <c r="E1473" s="14" t="s">
        <v>60</v>
      </c>
      <c r="F1473" s="46">
        <f>F1471+F1472</f>
        <v>115575</v>
      </c>
    </row>
    <row r="1474" ht="13.5" customHeight="1">
      <c r="D1474" s="7"/>
      <c r="E1474" s="9"/>
      <c r="F1474" s="9"/>
    </row>
    <row r="1475" ht="13.5" customHeight="1">
      <c r="A1475" s="14" t="s">
        <v>62</v>
      </c>
      <c r="D1475" s="7"/>
      <c r="E1475" s="9"/>
      <c r="F1475" s="9"/>
    </row>
    <row r="1476" ht="13.5" customHeight="1">
      <c r="A1476" s="18" t="s">
        <v>15</v>
      </c>
      <c r="B1476" s="18" t="s">
        <v>17</v>
      </c>
      <c r="C1476" s="18" t="s">
        <v>18</v>
      </c>
      <c r="D1476" s="18" t="s">
        <v>19</v>
      </c>
      <c r="E1476" s="18" t="s">
        <v>20</v>
      </c>
      <c r="F1476" s="18" t="s">
        <v>21</v>
      </c>
    </row>
    <row r="1477" ht="13.5" customHeight="1">
      <c r="A1477" s="21" t="s">
        <v>22</v>
      </c>
      <c r="B1477" s="21" t="s">
        <v>394</v>
      </c>
      <c r="C1477" s="21" t="s">
        <v>51</v>
      </c>
      <c r="D1477" s="144">
        <f>ROUND(1/B1453,2)</f>
        <v>0.67</v>
      </c>
      <c r="E1477" s="21">
        <v>45000.0</v>
      </c>
      <c r="F1477" s="33">
        <f>ROUND(IFERROR(D1477*E1477,0),0)</f>
        <v>30150</v>
      </c>
    </row>
    <row r="1478" ht="13.5" customHeight="1">
      <c r="A1478" s="21"/>
      <c r="B1478" s="21"/>
      <c r="C1478" s="21"/>
      <c r="D1478" s="144"/>
      <c r="E1478" s="21"/>
      <c r="F1478" s="33"/>
    </row>
    <row r="1479" ht="13.5" customHeight="1">
      <c r="D1479" s="7"/>
      <c r="E1479" s="14" t="s">
        <v>37</v>
      </c>
      <c r="F1479" s="46">
        <f>SUM(F1477:F1478)</f>
        <v>30150</v>
      </c>
    </row>
    <row r="1480" ht="13.5" customHeight="1">
      <c r="D1480" s="7"/>
      <c r="E1480" s="9"/>
      <c r="F1480" s="9"/>
    </row>
    <row r="1481" ht="13.5" customHeight="1">
      <c r="A1481" s="14" t="s">
        <v>74</v>
      </c>
      <c r="D1481" s="7"/>
      <c r="E1481" s="9"/>
      <c r="F1481" s="9"/>
    </row>
    <row r="1482" ht="13.5" customHeight="1">
      <c r="A1482" s="18"/>
      <c r="B1482" s="18" t="s">
        <v>17</v>
      </c>
      <c r="C1482" s="18" t="s">
        <v>18</v>
      </c>
      <c r="D1482" s="18" t="s">
        <v>19</v>
      </c>
      <c r="E1482" s="18" t="s">
        <v>20</v>
      </c>
      <c r="F1482" s="18" t="s">
        <v>21</v>
      </c>
    </row>
    <row r="1483" ht="13.5" customHeight="1">
      <c r="D1483" s="7"/>
      <c r="E1483" s="14" t="s">
        <v>77</v>
      </c>
      <c r="F1483" s="46">
        <f>F1465+F1473+F1479</f>
        <v>251265</v>
      </c>
    </row>
    <row r="1484" ht="13.5" customHeight="1">
      <c r="D1484" s="7"/>
      <c r="E1484" s="14" t="s">
        <v>6</v>
      </c>
      <c r="F1484" s="46">
        <f>ROUND(F1483*F1454,0)</f>
        <v>37690</v>
      </c>
    </row>
    <row r="1485" ht="13.5" customHeight="1">
      <c r="D1485" s="7"/>
      <c r="E1485" s="14" t="s">
        <v>8</v>
      </c>
      <c r="F1485" s="46">
        <f>ROUND(F1483*F1455,0)</f>
        <v>50253</v>
      </c>
    </row>
    <row r="1486" ht="13.5" customHeight="1">
      <c r="D1486" s="7"/>
      <c r="E1486" s="14" t="s">
        <v>81</v>
      </c>
      <c r="F1486" s="46">
        <f>F1483+F1484+F1485</f>
        <v>339208</v>
      </c>
    </row>
    <row r="1487" ht="13.5" customHeight="1">
      <c r="D1487" s="7"/>
      <c r="E1487" s="14" t="s">
        <v>82</v>
      </c>
      <c r="F1487" s="46">
        <f>ROUND(F1486*F1456,0)</f>
        <v>64450</v>
      </c>
    </row>
    <row r="1488" ht="13.5" customHeight="1">
      <c r="D1488" s="14" t="s">
        <v>425</v>
      </c>
      <c r="E1488" s="18" t="s">
        <v>84</v>
      </c>
      <c r="F1488" s="53">
        <f>F1486+F1487</f>
        <v>403658</v>
      </c>
    </row>
    <row r="1489" ht="13.5" customHeight="1"/>
    <row r="1490" ht="13.5" customHeight="1"/>
    <row r="1491" ht="13.5" customHeight="1"/>
    <row r="1492" ht="13.5" customHeight="1"/>
    <row r="1493" ht="13.5" customHeight="1"/>
    <row r="1494" ht="13.5" customHeight="1"/>
    <row r="1495" ht="13.5" customHeight="1"/>
    <row r="1496" ht="13.5" customHeight="1"/>
    <row r="1497" ht="13.5" customHeight="1">
      <c r="A1497" s="3" t="s">
        <v>1</v>
      </c>
      <c r="B1497" s="5">
        <v>1.5</v>
      </c>
      <c r="C1497" s="3" t="s">
        <v>2</v>
      </c>
      <c r="D1497" s="7"/>
      <c r="E1497" s="3" t="s">
        <v>3</v>
      </c>
      <c r="F1497" s="9"/>
    </row>
    <row r="1498" ht="13.5" customHeight="1">
      <c r="A1498" s="3" t="s">
        <v>4</v>
      </c>
      <c r="B1498" s="5" t="s">
        <v>30</v>
      </c>
      <c r="D1498" s="7"/>
      <c r="E1498" s="3" t="s">
        <v>6</v>
      </c>
      <c r="F1498" s="10">
        <v>0.15</v>
      </c>
    </row>
    <row r="1499" ht="13.5" customHeight="1">
      <c r="D1499" s="7"/>
      <c r="E1499" s="3" t="s">
        <v>8</v>
      </c>
      <c r="F1499" s="10">
        <v>0.2</v>
      </c>
    </row>
    <row r="1500" ht="13.5" customHeight="1">
      <c r="B1500" s="5" t="s">
        <v>492</v>
      </c>
      <c r="D1500" s="7"/>
      <c r="E1500" s="3" t="s">
        <v>10</v>
      </c>
      <c r="F1500" s="10">
        <v>0.19</v>
      </c>
    </row>
    <row r="1501" ht="13.5" customHeight="1">
      <c r="A1501" s="14" t="s">
        <v>11</v>
      </c>
      <c r="D1501" s="7"/>
      <c r="E1501" s="9"/>
      <c r="F1501" s="9"/>
    </row>
    <row r="1502" ht="13.5" customHeight="1">
      <c r="A1502" s="18" t="s">
        <v>15</v>
      </c>
      <c r="B1502" s="18" t="s">
        <v>17</v>
      </c>
      <c r="C1502" s="18" t="s">
        <v>18</v>
      </c>
      <c r="D1502" s="18" t="s">
        <v>19</v>
      </c>
      <c r="E1502" s="18" t="s">
        <v>20</v>
      </c>
      <c r="F1502" s="18" t="s">
        <v>21</v>
      </c>
    </row>
    <row r="1503" ht="13.5" customHeight="1">
      <c r="A1503" s="21" t="s">
        <v>22</v>
      </c>
      <c r="B1503" s="21" t="s">
        <v>481</v>
      </c>
      <c r="C1503" s="21" t="s">
        <v>5</v>
      </c>
      <c r="D1503" s="21">
        <f>+ROUND(0.675,2)</f>
        <v>0.68</v>
      </c>
      <c r="E1503" s="279">
        <v>65000.0</v>
      </c>
      <c r="F1503" s="33">
        <f t="shared" ref="F1503:F1508" si="77">ROUND(IFERROR(D1503*E1503,0),0)</f>
        <v>44200</v>
      </c>
    </row>
    <row r="1504" ht="13.5" customHeight="1">
      <c r="A1504" s="21" t="s">
        <v>27</v>
      </c>
      <c r="B1504" s="21" t="s">
        <v>482</v>
      </c>
      <c r="C1504" s="21" t="s">
        <v>483</v>
      </c>
      <c r="D1504" s="21">
        <v>1.0</v>
      </c>
      <c r="E1504" s="279">
        <v>10000.0</v>
      </c>
      <c r="F1504" s="33">
        <f t="shared" si="77"/>
        <v>10000</v>
      </c>
    </row>
    <row r="1505" ht="13.5" customHeight="1">
      <c r="A1505" s="21" t="s">
        <v>32</v>
      </c>
      <c r="B1505" s="21" t="s">
        <v>484</v>
      </c>
      <c r="C1505" s="21" t="s">
        <v>171</v>
      </c>
      <c r="D1505" s="21">
        <v>1.22</v>
      </c>
      <c r="E1505" s="279">
        <v>8.7</v>
      </c>
      <c r="F1505" s="33">
        <f t="shared" si="77"/>
        <v>11</v>
      </c>
    </row>
    <row r="1506" ht="13.5" customHeight="1">
      <c r="A1506" s="21" t="s">
        <v>99</v>
      </c>
      <c r="B1506" s="21" t="s">
        <v>485</v>
      </c>
      <c r="C1506" s="21" t="s">
        <v>171</v>
      </c>
      <c r="D1506" s="21">
        <v>1.01</v>
      </c>
      <c r="E1506" s="279">
        <v>495.8</v>
      </c>
      <c r="F1506" s="33">
        <f t="shared" si="77"/>
        <v>501</v>
      </c>
    </row>
    <row r="1507" ht="13.5" customHeight="1">
      <c r="A1507" s="21" t="s">
        <v>101</v>
      </c>
      <c r="B1507" s="21" t="s">
        <v>486</v>
      </c>
      <c r="C1507" s="21" t="s">
        <v>171</v>
      </c>
      <c r="D1507" s="21">
        <v>0.41</v>
      </c>
      <c r="E1507" s="279">
        <v>7.8</v>
      </c>
      <c r="F1507" s="33">
        <f t="shared" si="77"/>
        <v>3</v>
      </c>
    </row>
    <row r="1508" ht="13.5" customHeight="1">
      <c r="A1508" s="21" t="s">
        <v>107</v>
      </c>
      <c r="B1508" s="21" t="s">
        <v>487</v>
      </c>
      <c r="C1508" s="21" t="s">
        <v>34</v>
      </c>
      <c r="D1508" s="21">
        <v>1.0</v>
      </c>
      <c r="E1508" s="279">
        <v>1500.0</v>
      </c>
      <c r="F1508" s="33">
        <f t="shared" si="77"/>
        <v>1500</v>
      </c>
    </row>
    <row r="1509" ht="13.5" customHeight="1">
      <c r="D1509" s="7"/>
      <c r="E1509" s="14" t="s">
        <v>37</v>
      </c>
      <c r="F1509" s="46">
        <f>SUM(F1503:F1508)</f>
        <v>56215</v>
      </c>
    </row>
    <row r="1510" ht="13.5" customHeight="1">
      <c r="D1510" s="7"/>
      <c r="E1510" s="9"/>
      <c r="F1510" s="9"/>
    </row>
    <row r="1511" ht="13.5" customHeight="1">
      <c r="A1511" s="14" t="s">
        <v>44</v>
      </c>
      <c r="D1511" s="7"/>
      <c r="E1511" s="9"/>
      <c r="F1511" s="9"/>
    </row>
    <row r="1512" ht="13.5" customHeight="1">
      <c r="A1512" s="18" t="s">
        <v>15</v>
      </c>
      <c r="B1512" s="18" t="s">
        <v>17</v>
      </c>
      <c r="C1512" s="18" t="s">
        <v>18</v>
      </c>
      <c r="D1512" s="18" t="s">
        <v>19</v>
      </c>
      <c r="E1512" s="18" t="s">
        <v>20</v>
      </c>
      <c r="F1512" s="18" t="s">
        <v>21</v>
      </c>
    </row>
    <row r="1513" ht="13.5" customHeight="1">
      <c r="A1513" s="21" t="s">
        <v>22</v>
      </c>
      <c r="B1513" s="21" t="s">
        <v>345</v>
      </c>
      <c r="C1513" s="21" t="s">
        <v>51</v>
      </c>
      <c r="D1513" s="187">
        <f>ROUND(1/B1497,2)</f>
        <v>0.67</v>
      </c>
      <c r="E1513" s="21">
        <v>65000.0</v>
      </c>
      <c r="F1513" s="33">
        <f t="shared" ref="F1513:F1514" si="78">ROUND(IFERROR(D1513*E1513,0),0)</f>
        <v>43550</v>
      </c>
    </row>
    <row r="1514" ht="13.5" customHeight="1">
      <c r="A1514" s="21" t="s">
        <v>27</v>
      </c>
      <c r="B1514" s="21" t="s">
        <v>54</v>
      </c>
      <c r="C1514" s="21" t="s">
        <v>51</v>
      </c>
      <c r="D1514" s="187">
        <f>ROUND(1/B1497,2)</f>
        <v>0.67</v>
      </c>
      <c r="E1514" s="21">
        <v>50000.0</v>
      </c>
      <c r="F1514" s="33">
        <f t="shared" si="78"/>
        <v>33500</v>
      </c>
    </row>
    <row r="1515" ht="13.5" customHeight="1">
      <c r="D1515" s="7"/>
      <c r="E1515" s="14" t="s">
        <v>37</v>
      </c>
      <c r="F1515" s="46">
        <f>SUM(F1513:F1514)</f>
        <v>77050</v>
      </c>
    </row>
    <row r="1516" ht="13.5" customHeight="1">
      <c r="D1516" s="7"/>
      <c r="E1516" s="14" t="s">
        <v>59</v>
      </c>
      <c r="F1516" s="46">
        <f>ROUND(F1515*0.5,0)</f>
        <v>38525</v>
      </c>
    </row>
    <row r="1517" ht="13.5" customHeight="1">
      <c r="D1517" s="7"/>
      <c r="E1517" s="14" t="s">
        <v>60</v>
      </c>
      <c r="F1517" s="46">
        <f>F1515+F1516</f>
        <v>115575</v>
      </c>
    </row>
    <row r="1518" ht="13.5" customHeight="1">
      <c r="D1518" s="7"/>
      <c r="E1518" s="9"/>
      <c r="F1518" s="9"/>
    </row>
    <row r="1519" ht="13.5" customHeight="1">
      <c r="A1519" s="14" t="s">
        <v>62</v>
      </c>
      <c r="D1519" s="7"/>
      <c r="E1519" s="9"/>
      <c r="F1519" s="9"/>
    </row>
    <row r="1520" ht="13.5" customHeight="1">
      <c r="A1520" s="18" t="s">
        <v>15</v>
      </c>
      <c r="B1520" s="18" t="s">
        <v>17</v>
      </c>
      <c r="C1520" s="18" t="s">
        <v>18</v>
      </c>
      <c r="D1520" s="18" t="s">
        <v>19</v>
      </c>
      <c r="E1520" s="18" t="s">
        <v>20</v>
      </c>
      <c r="F1520" s="18" t="s">
        <v>21</v>
      </c>
    </row>
    <row r="1521" ht="13.5" customHeight="1">
      <c r="A1521" s="21" t="s">
        <v>22</v>
      </c>
      <c r="B1521" s="21" t="s">
        <v>394</v>
      </c>
      <c r="C1521" s="21" t="s">
        <v>51</v>
      </c>
      <c r="D1521" s="144">
        <f>ROUND(1/B1497,2)</f>
        <v>0.67</v>
      </c>
      <c r="E1521" s="21">
        <v>45000.0</v>
      </c>
      <c r="F1521" s="33">
        <f>ROUND(IFERROR(D1521*E1521,0),0)</f>
        <v>30150</v>
      </c>
    </row>
    <row r="1522" ht="13.5" customHeight="1">
      <c r="A1522" s="21"/>
      <c r="B1522" s="21"/>
      <c r="C1522" s="21"/>
      <c r="D1522" s="144"/>
      <c r="E1522" s="21"/>
      <c r="F1522" s="33"/>
    </row>
    <row r="1523" ht="13.5" customHeight="1">
      <c r="D1523" s="7"/>
      <c r="E1523" s="14" t="s">
        <v>37</v>
      </c>
      <c r="F1523" s="46">
        <f>SUM(F1521:F1522)</f>
        <v>30150</v>
      </c>
    </row>
    <row r="1524" ht="13.5" customHeight="1">
      <c r="D1524" s="7"/>
      <c r="E1524" s="9"/>
      <c r="F1524" s="9"/>
    </row>
    <row r="1525" ht="13.5" customHeight="1">
      <c r="A1525" s="14" t="s">
        <v>74</v>
      </c>
      <c r="D1525" s="7"/>
      <c r="E1525" s="9"/>
      <c r="F1525" s="9"/>
    </row>
    <row r="1526" ht="13.5" customHeight="1">
      <c r="A1526" s="18"/>
      <c r="B1526" s="18" t="s">
        <v>17</v>
      </c>
      <c r="C1526" s="18" t="s">
        <v>18</v>
      </c>
      <c r="D1526" s="18" t="s">
        <v>19</v>
      </c>
      <c r="E1526" s="18" t="s">
        <v>20</v>
      </c>
      <c r="F1526" s="18" t="s">
        <v>21</v>
      </c>
    </row>
    <row r="1527" ht="13.5" customHeight="1">
      <c r="D1527" s="7"/>
      <c r="E1527" s="14" t="s">
        <v>77</v>
      </c>
      <c r="F1527" s="46">
        <f>F1509+F1517+F1523</f>
        <v>201940</v>
      </c>
    </row>
    <row r="1528" ht="13.5" customHeight="1">
      <c r="D1528" s="7"/>
      <c r="E1528" s="14" t="s">
        <v>6</v>
      </c>
      <c r="F1528" s="46">
        <f>ROUND(F1527*F1498,0)</f>
        <v>30291</v>
      </c>
    </row>
    <row r="1529" ht="13.5" customHeight="1">
      <c r="D1529" s="7"/>
      <c r="E1529" s="14" t="s">
        <v>8</v>
      </c>
      <c r="F1529" s="46">
        <f>ROUND(F1527*F1499,0)</f>
        <v>40388</v>
      </c>
    </row>
    <row r="1530" ht="13.5" customHeight="1">
      <c r="D1530" s="7"/>
      <c r="E1530" s="14" t="s">
        <v>81</v>
      </c>
      <c r="F1530" s="46">
        <f>F1527+F1528+F1529</f>
        <v>272619</v>
      </c>
    </row>
    <row r="1531" ht="13.5" customHeight="1">
      <c r="D1531" s="7"/>
      <c r="E1531" s="14" t="s">
        <v>82</v>
      </c>
      <c r="F1531" s="46">
        <f>ROUND(F1530*F1500,0)</f>
        <v>51798</v>
      </c>
    </row>
    <row r="1532" ht="13.5" customHeight="1">
      <c r="D1532" s="14" t="s">
        <v>425</v>
      </c>
      <c r="E1532" s="18" t="s">
        <v>84</v>
      </c>
      <c r="F1532" s="53">
        <f>F1530+F1531</f>
        <v>324417</v>
      </c>
    </row>
    <row r="1533" ht="13.5" customHeight="1"/>
    <row r="1534" ht="13.5" customHeight="1"/>
    <row r="1535" ht="13.5" customHeight="1"/>
    <row r="1536" ht="13.5" customHeight="1"/>
    <row r="1537" ht="13.5" customHeight="1"/>
    <row r="1538" ht="13.5" customHeight="1"/>
    <row r="1539" ht="13.5" customHeight="1"/>
    <row r="1540" ht="13.5" customHeight="1"/>
    <row r="1541" ht="13.5" customHeight="1">
      <c r="A1541" s="3" t="s">
        <v>1</v>
      </c>
      <c r="B1541" s="5">
        <v>1.5</v>
      </c>
      <c r="C1541" s="3" t="s">
        <v>2</v>
      </c>
      <c r="D1541" s="7"/>
      <c r="E1541" s="3" t="s">
        <v>3</v>
      </c>
      <c r="F1541" s="9"/>
    </row>
    <row r="1542" ht="13.5" customHeight="1">
      <c r="A1542" s="3" t="s">
        <v>4</v>
      </c>
      <c r="B1542" s="5" t="s">
        <v>30</v>
      </c>
      <c r="D1542" s="7"/>
      <c r="E1542" s="3" t="s">
        <v>6</v>
      </c>
      <c r="F1542" s="10">
        <v>0.15</v>
      </c>
    </row>
    <row r="1543" ht="13.5" customHeight="1">
      <c r="D1543" s="7"/>
      <c r="E1543" s="3" t="s">
        <v>8</v>
      </c>
      <c r="F1543" s="10">
        <v>0.2</v>
      </c>
    </row>
    <row r="1544" ht="13.5" customHeight="1">
      <c r="B1544" s="5" t="s">
        <v>493</v>
      </c>
      <c r="D1544" s="7"/>
      <c r="E1544" s="3" t="s">
        <v>10</v>
      </c>
      <c r="F1544" s="10">
        <v>0.19</v>
      </c>
    </row>
    <row r="1545" ht="13.5" customHeight="1">
      <c r="A1545" s="14" t="s">
        <v>11</v>
      </c>
      <c r="D1545" s="7"/>
      <c r="E1545" s="9"/>
      <c r="F1545" s="9"/>
    </row>
    <row r="1546" ht="13.5" customHeight="1">
      <c r="A1546" s="18" t="s">
        <v>15</v>
      </c>
      <c r="B1546" s="18" t="s">
        <v>17</v>
      </c>
      <c r="C1546" s="18" t="s">
        <v>18</v>
      </c>
      <c r="D1546" s="18" t="s">
        <v>19</v>
      </c>
      <c r="E1546" s="18" t="s">
        <v>20</v>
      </c>
      <c r="F1546" s="18" t="s">
        <v>21</v>
      </c>
    </row>
    <row r="1547" ht="13.5" customHeight="1">
      <c r="A1547" s="21" t="s">
        <v>22</v>
      </c>
      <c r="B1547" s="21" t="s">
        <v>481</v>
      </c>
      <c r="C1547" s="21" t="s">
        <v>5</v>
      </c>
      <c r="D1547" s="21">
        <v>0.9</v>
      </c>
      <c r="E1547" s="279">
        <v>65000.0</v>
      </c>
      <c r="F1547" s="33">
        <f t="shared" ref="F1547:F1552" si="79">ROUND(IFERROR(D1547*E1547,0),0)</f>
        <v>58500</v>
      </c>
    </row>
    <row r="1548" ht="13.5" customHeight="1">
      <c r="A1548" s="21" t="s">
        <v>27</v>
      </c>
      <c r="B1548" s="21" t="s">
        <v>482</v>
      </c>
      <c r="C1548" s="21" t="s">
        <v>483</v>
      </c>
      <c r="D1548" s="21">
        <v>1.0</v>
      </c>
      <c r="E1548" s="279">
        <v>10000.0</v>
      </c>
      <c r="F1548" s="33">
        <f t="shared" si="79"/>
        <v>10000</v>
      </c>
    </row>
    <row r="1549" ht="13.5" customHeight="1">
      <c r="A1549" s="21" t="s">
        <v>32</v>
      </c>
      <c r="B1549" s="21" t="s">
        <v>484</v>
      </c>
      <c r="C1549" s="21" t="s">
        <v>171</v>
      </c>
      <c r="D1549" s="21">
        <v>1.62</v>
      </c>
      <c r="E1549" s="279">
        <v>8.7</v>
      </c>
      <c r="F1549" s="33">
        <f t="shared" si="79"/>
        <v>14</v>
      </c>
    </row>
    <row r="1550" ht="13.5" customHeight="1">
      <c r="A1550" s="21" t="s">
        <v>99</v>
      </c>
      <c r="B1550" s="21" t="s">
        <v>485</v>
      </c>
      <c r="C1550" s="21" t="s">
        <v>171</v>
      </c>
      <c r="D1550" s="21">
        <v>1.35</v>
      </c>
      <c r="E1550" s="279">
        <v>495.8</v>
      </c>
      <c r="F1550" s="33">
        <f t="shared" si="79"/>
        <v>669</v>
      </c>
    </row>
    <row r="1551" ht="13.5" customHeight="1">
      <c r="A1551" s="21" t="s">
        <v>101</v>
      </c>
      <c r="B1551" s="21" t="s">
        <v>486</v>
      </c>
      <c r="C1551" s="21" t="s">
        <v>171</v>
      </c>
      <c r="D1551" s="21">
        <v>0.54</v>
      </c>
      <c r="E1551" s="279">
        <v>7.8</v>
      </c>
      <c r="F1551" s="33">
        <f t="shared" si="79"/>
        <v>4</v>
      </c>
    </row>
    <row r="1552" ht="13.5" customHeight="1">
      <c r="A1552" s="21" t="s">
        <v>107</v>
      </c>
      <c r="B1552" s="21" t="s">
        <v>487</v>
      </c>
      <c r="C1552" s="21" t="s">
        <v>34</v>
      </c>
      <c r="D1552" s="21">
        <v>1.0</v>
      </c>
      <c r="E1552" s="279">
        <v>1500.0</v>
      </c>
      <c r="F1552" s="33">
        <f t="shared" si="79"/>
        <v>1500</v>
      </c>
    </row>
    <row r="1553" ht="13.5" customHeight="1">
      <c r="D1553" s="7"/>
      <c r="E1553" s="14" t="s">
        <v>37</v>
      </c>
      <c r="F1553" s="46">
        <f>SUM(F1547:F1552)</f>
        <v>70687</v>
      </c>
    </row>
    <row r="1554" ht="13.5" customHeight="1">
      <c r="D1554" s="7"/>
      <c r="E1554" s="9"/>
      <c r="F1554" s="9"/>
    </row>
    <row r="1555" ht="13.5" customHeight="1">
      <c r="A1555" s="14" t="s">
        <v>44</v>
      </c>
      <c r="D1555" s="7"/>
      <c r="E1555" s="9"/>
      <c r="F1555" s="9"/>
    </row>
    <row r="1556" ht="13.5" customHeight="1">
      <c r="A1556" s="18" t="s">
        <v>15</v>
      </c>
      <c r="B1556" s="18" t="s">
        <v>17</v>
      </c>
      <c r="C1556" s="18" t="s">
        <v>18</v>
      </c>
      <c r="D1556" s="18" t="s">
        <v>19</v>
      </c>
      <c r="E1556" s="18" t="s">
        <v>20</v>
      </c>
      <c r="F1556" s="18" t="s">
        <v>21</v>
      </c>
    </row>
    <row r="1557" ht="13.5" customHeight="1">
      <c r="A1557" s="21" t="s">
        <v>22</v>
      </c>
      <c r="B1557" s="21" t="s">
        <v>345</v>
      </c>
      <c r="C1557" s="21" t="s">
        <v>51</v>
      </c>
      <c r="D1557" s="187">
        <f>ROUND(1/B1541,2)</f>
        <v>0.67</v>
      </c>
      <c r="E1557" s="21">
        <v>65000.0</v>
      </c>
      <c r="F1557" s="33">
        <f t="shared" ref="F1557:F1558" si="80">ROUND(IFERROR(D1557*E1557,0),0)</f>
        <v>43550</v>
      </c>
    </row>
    <row r="1558" ht="13.5" customHeight="1">
      <c r="A1558" s="21" t="s">
        <v>27</v>
      </c>
      <c r="B1558" s="21" t="s">
        <v>54</v>
      </c>
      <c r="C1558" s="21" t="s">
        <v>51</v>
      </c>
      <c r="D1558" s="187">
        <f>ROUND(1/B1541,2)</f>
        <v>0.67</v>
      </c>
      <c r="E1558" s="21">
        <v>50000.0</v>
      </c>
      <c r="F1558" s="33">
        <f t="shared" si="80"/>
        <v>33500</v>
      </c>
    </row>
    <row r="1559" ht="13.5" customHeight="1">
      <c r="D1559" s="7"/>
      <c r="E1559" s="14" t="s">
        <v>37</v>
      </c>
      <c r="F1559" s="46">
        <f>SUM(F1557:F1558)</f>
        <v>77050</v>
      </c>
    </row>
    <row r="1560" ht="13.5" customHeight="1">
      <c r="D1560" s="7"/>
      <c r="E1560" s="14" t="s">
        <v>59</v>
      </c>
      <c r="F1560" s="46">
        <f>ROUND(F1559*0.5,0)</f>
        <v>38525</v>
      </c>
    </row>
    <row r="1561" ht="13.5" customHeight="1">
      <c r="D1561" s="7"/>
      <c r="E1561" s="14" t="s">
        <v>60</v>
      </c>
      <c r="F1561" s="46">
        <f>F1559+F1560</f>
        <v>115575</v>
      </c>
    </row>
    <row r="1562" ht="13.5" customHeight="1">
      <c r="D1562" s="7"/>
      <c r="E1562" s="9"/>
      <c r="F1562" s="9"/>
    </row>
    <row r="1563" ht="13.5" customHeight="1">
      <c r="A1563" s="14" t="s">
        <v>62</v>
      </c>
      <c r="D1563" s="7"/>
      <c r="E1563" s="9"/>
      <c r="F1563" s="9"/>
    </row>
    <row r="1564" ht="13.5" customHeight="1">
      <c r="A1564" s="18" t="s">
        <v>15</v>
      </c>
      <c r="B1564" s="18" t="s">
        <v>17</v>
      </c>
      <c r="C1564" s="18" t="s">
        <v>18</v>
      </c>
      <c r="D1564" s="18" t="s">
        <v>19</v>
      </c>
      <c r="E1564" s="18" t="s">
        <v>20</v>
      </c>
      <c r="F1564" s="18" t="s">
        <v>21</v>
      </c>
    </row>
    <row r="1565" ht="13.5" customHeight="1">
      <c r="A1565" s="21" t="s">
        <v>22</v>
      </c>
      <c r="B1565" s="21" t="s">
        <v>394</v>
      </c>
      <c r="C1565" s="21" t="s">
        <v>51</v>
      </c>
      <c r="D1565" s="144">
        <f>ROUND(1/B1541,2)</f>
        <v>0.67</v>
      </c>
      <c r="E1565" s="21">
        <v>45000.0</v>
      </c>
      <c r="F1565" s="33">
        <f>ROUND(IFERROR(D1565*E1565,0),0)</f>
        <v>30150</v>
      </c>
    </row>
    <row r="1566" ht="13.5" customHeight="1">
      <c r="A1566" s="21"/>
      <c r="B1566" s="21"/>
      <c r="C1566" s="21"/>
      <c r="D1566" s="144"/>
      <c r="E1566" s="21"/>
      <c r="F1566" s="33"/>
    </row>
    <row r="1567" ht="13.5" customHeight="1">
      <c r="D1567" s="7"/>
      <c r="E1567" s="14" t="s">
        <v>37</v>
      </c>
      <c r="F1567" s="46">
        <f>SUM(F1565:F1566)</f>
        <v>30150</v>
      </c>
    </row>
    <row r="1568" ht="13.5" customHeight="1">
      <c r="D1568" s="7"/>
      <c r="E1568" s="9"/>
      <c r="F1568" s="9"/>
    </row>
    <row r="1569" ht="13.5" customHeight="1">
      <c r="A1569" s="14" t="s">
        <v>74</v>
      </c>
      <c r="D1569" s="7"/>
      <c r="E1569" s="9"/>
      <c r="F1569" s="9"/>
    </row>
    <row r="1570" ht="13.5" customHeight="1">
      <c r="A1570" s="18"/>
      <c r="B1570" s="18" t="s">
        <v>17</v>
      </c>
      <c r="C1570" s="18" t="s">
        <v>18</v>
      </c>
      <c r="D1570" s="18" t="s">
        <v>19</v>
      </c>
      <c r="E1570" s="18" t="s">
        <v>20</v>
      </c>
      <c r="F1570" s="18" t="s">
        <v>21</v>
      </c>
    </row>
    <row r="1571" ht="13.5" customHeight="1">
      <c r="D1571" s="7"/>
      <c r="E1571" s="14" t="s">
        <v>77</v>
      </c>
      <c r="F1571" s="46">
        <f>F1553+F1561+F1567</f>
        <v>216412</v>
      </c>
    </row>
    <row r="1572" ht="13.5" customHeight="1">
      <c r="D1572" s="7"/>
      <c r="E1572" s="14" t="s">
        <v>6</v>
      </c>
      <c r="F1572" s="46">
        <f>ROUND(F1571*F1542,0)</f>
        <v>32462</v>
      </c>
    </row>
    <row r="1573" ht="13.5" customHeight="1">
      <c r="D1573" s="7"/>
      <c r="E1573" s="14" t="s">
        <v>8</v>
      </c>
      <c r="F1573" s="46">
        <f>ROUND(F1571*F1543,0)</f>
        <v>43282</v>
      </c>
    </row>
    <row r="1574" ht="13.5" customHeight="1">
      <c r="D1574" s="7"/>
      <c r="E1574" s="14" t="s">
        <v>81</v>
      </c>
      <c r="F1574" s="46">
        <f>F1571+F1572+F1573</f>
        <v>292156</v>
      </c>
    </row>
    <row r="1575" ht="13.5" customHeight="1">
      <c r="D1575" s="7"/>
      <c r="E1575" s="14" t="s">
        <v>82</v>
      </c>
      <c r="F1575" s="46">
        <f>ROUND(F1574*F1544,0)</f>
        <v>55510</v>
      </c>
    </row>
    <row r="1576" ht="13.5" customHeight="1">
      <c r="D1576" s="14" t="s">
        <v>425</v>
      </c>
      <c r="E1576" s="18" t="s">
        <v>84</v>
      </c>
      <c r="F1576" s="53">
        <f>F1574+F1575</f>
        <v>347666</v>
      </c>
    </row>
    <row r="1577" ht="13.5" customHeight="1"/>
    <row r="1578" ht="13.5" customHeight="1"/>
    <row r="1579" ht="13.5" customHeight="1"/>
    <row r="1580" ht="13.5" customHeight="1"/>
    <row r="1581" ht="13.5" customHeight="1"/>
    <row r="1582" ht="13.5" customHeight="1"/>
    <row r="1583" ht="13.5" customHeight="1"/>
    <row r="1584" ht="13.5" customHeight="1"/>
    <row r="1585" ht="13.5" customHeight="1">
      <c r="A1585" s="3" t="s">
        <v>1</v>
      </c>
      <c r="B1585" s="5">
        <v>1.5</v>
      </c>
      <c r="C1585" s="3" t="s">
        <v>2</v>
      </c>
      <c r="D1585" s="7"/>
      <c r="E1585" s="3" t="s">
        <v>3</v>
      </c>
      <c r="F1585" s="9"/>
    </row>
    <row r="1586" ht="13.5" customHeight="1">
      <c r="A1586" s="3" t="s">
        <v>4</v>
      </c>
      <c r="B1586" s="5" t="s">
        <v>30</v>
      </c>
      <c r="D1586" s="7"/>
      <c r="E1586" s="3" t="s">
        <v>6</v>
      </c>
      <c r="F1586" s="10">
        <v>0.15</v>
      </c>
    </row>
    <row r="1587" ht="13.5" customHeight="1">
      <c r="D1587" s="7"/>
      <c r="E1587" s="3" t="s">
        <v>8</v>
      </c>
      <c r="F1587" s="10">
        <v>0.2</v>
      </c>
    </row>
    <row r="1588" ht="13.5" customHeight="1">
      <c r="B1588" s="5" t="s">
        <v>494</v>
      </c>
      <c r="D1588" s="7"/>
      <c r="E1588" s="3" t="s">
        <v>10</v>
      </c>
      <c r="F1588" s="10">
        <v>0.19</v>
      </c>
    </row>
    <row r="1589" ht="13.5" customHeight="1">
      <c r="A1589" s="14" t="s">
        <v>11</v>
      </c>
      <c r="D1589" s="7"/>
      <c r="E1589" s="9"/>
      <c r="F1589" s="9"/>
    </row>
    <row r="1590" ht="13.5" customHeight="1">
      <c r="A1590" s="18" t="s">
        <v>15</v>
      </c>
      <c r="B1590" s="18" t="s">
        <v>17</v>
      </c>
      <c r="C1590" s="18" t="s">
        <v>18</v>
      </c>
      <c r="D1590" s="18" t="s">
        <v>19</v>
      </c>
      <c r="E1590" s="18" t="s">
        <v>20</v>
      </c>
      <c r="F1590" s="18" t="s">
        <v>21</v>
      </c>
    </row>
    <row r="1591" ht="13.5" customHeight="1">
      <c r="A1591" s="21" t="s">
        <v>22</v>
      </c>
      <c r="B1591" s="21" t="s">
        <v>481</v>
      </c>
      <c r="C1591" s="21" t="s">
        <v>5</v>
      </c>
      <c r="D1591" s="21">
        <v>2.4</v>
      </c>
      <c r="E1591" s="279">
        <v>65000.0</v>
      </c>
      <c r="F1591" s="33">
        <f t="shared" ref="F1591:F1596" si="81">ROUND(IFERROR(D1591*E1591,0),0)</f>
        <v>156000</v>
      </c>
    </row>
    <row r="1592" ht="13.5" customHeight="1">
      <c r="A1592" s="21" t="s">
        <v>27</v>
      </c>
      <c r="B1592" s="21" t="s">
        <v>482</v>
      </c>
      <c r="C1592" s="21" t="s">
        <v>483</v>
      </c>
      <c r="D1592" s="21">
        <v>1.0</v>
      </c>
      <c r="E1592" s="279">
        <v>10000.0</v>
      </c>
      <c r="F1592" s="33">
        <f t="shared" si="81"/>
        <v>10000</v>
      </c>
    </row>
    <row r="1593" ht="13.5" customHeight="1">
      <c r="A1593" s="21" t="s">
        <v>32</v>
      </c>
      <c r="B1593" s="21" t="s">
        <v>484</v>
      </c>
      <c r="C1593" s="21" t="s">
        <v>171</v>
      </c>
      <c r="D1593" s="21">
        <v>4.32</v>
      </c>
      <c r="E1593" s="279">
        <v>8.7</v>
      </c>
      <c r="F1593" s="33">
        <f t="shared" si="81"/>
        <v>38</v>
      </c>
    </row>
    <row r="1594" ht="13.5" customHeight="1">
      <c r="A1594" s="21" t="s">
        <v>99</v>
      </c>
      <c r="B1594" s="21" t="s">
        <v>485</v>
      </c>
      <c r="C1594" s="21" t="s">
        <v>171</v>
      </c>
      <c r="D1594" s="21">
        <v>3.6</v>
      </c>
      <c r="E1594" s="279">
        <v>495.8</v>
      </c>
      <c r="F1594" s="33">
        <f t="shared" si="81"/>
        <v>1785</v>
      </c>
    </row>
    <row r="1595" ht="13.5" customHeight="1">
      <c r="A1595" s="21" t="s">
        <v>101</v>
      </c>
      <c r="B1595" s="21" t="s">
        <v>486</v>
      </c>
      <c r="C1595" s="21" t="s">
        <v>171</v>
      </c>
      <c r="D1595" s="21">
        <v>1.44</v>
      </c>
      <c r="E1595" s="279">
        <v>7.8</v>
      </c>
      <c r="F1595" s="33">
        <f t="shared" si="81"/>
        <v>11</v>
      </c>
    </row>
    <row r="1596" ht="13.5" customHeight="1">
      <c r="A1596" s="21" t="s">
        <v>107</v>
      </c>
      <c r="B1596" s="21" t="s">
        <v>487</v>
      </c>
      <c r="C1596" s="21" t="s">
        <v>34</v>
      </c>
      <c r="D1596" s="21">
        <v>1.0</v>
      </c>
      <c r="E1596" s="279">
        <v>1500.0</v>
      </c>
      <c r="F1596" s="33">
        <f t="shared" si="81"/>
        <v>1500</v>
      </c>
    </row>
    <row r="1597" ht="13.5" customHeight="1">
      <c r="D1597" s="7"/>
      <c r="E1597" s="14" t="s">
        <v>37</v>
      </c>
      <c r="F1597" s="46">
        <f>SUM(F1591:F1596)</f>
        <v>169334</v>
      </c>
    </row>
    <row r="1598" ht="13.5" customHeight="1">
      <c r="D1598" s="7"/>
      <c r="E1598" s="9"/>
      <c r="F1598" s="9"/>
    </row>
    <row r="1599" ht="13.5" customHeight="1">
      <c r="A1599" s="14" t="s">
        <v>44</v>
      </c>
      <c r="D1599" s="7"/>
      <c r="E1599" s="9"/>
      <c r="F1599" s="9"/>
    </row>
    <row r="1600" ht="13.5" customHeight="1">
      <c r="A1600" s="18" t="s">
        <v>15</v>
      </c>
      <c r="B1600" s="18" t="s">
        <v>17</v>
      </c>
      <c r="C1600" s="18" t="s">
        <v>18</v>
      </c>
      <c r="D1600" s="18" t="s">
        <v>19</v>
      </c>
      <c r="E1600" s="18" t="s">
        <v>20</v>
      </c>
      <c r="F1600" s="18" t="s">
        <v>21</v>
      </c>
    </row>
    <row r="1601" ht="13.5" customHeight="1">
      <c r="A1601" s="21" t="s">
        <v>22</v>
      </c>
      <c r="B1601" s="21" t="s">
        <v>345</v>
      </c>
      <c r="C1601" s="21" t="s">
        <v>51</v>
      </c>
      <c r="D1601" s="187">
        <f>ROUND(1/B1585,2)</f>
        <v>0.67</v>
      </c>
      <c r="E1601" s="21">
        <v>65000.0</v>
      </c>
      <c r="F1601" s="33">
        <f t="shared" ref="F1601:F1602" si="82">ROUND(IFERROR(D1601*E1601,0),0)</f>
        <v>43550</v>
      </c>
    </row>
    <row r="1602" ht="13.5" customHeight="1">
      <c r="A1602" s="21" t="s">
        <v>27</v>
      </c>
      <c r="B1602" s="21" t="s">
        <v>54</v>
      </c>
      <c r="C1602" s="21" t="s">
        <v>51</v>
      </c>
      <c r="D1602" s="187">
        <f>ROUND(1/B1585,2)</f>
        <v>0.67</v>
      </c>
      <c r="E1602" s="21">
        <v>50000.0</v>
      </c>
      <c r="F1602" s="33">
        <f t="shared" si="82"/>
        <v>33500</v>
      </c>
    </row>
    <row r="1603" ht="13.5" customHeight="1">
      <c r="D1603" s="7"/>
      <c r="E1603" s="14" t="s">
        <v>37</v>
      </c>
      <c r="F1603" s="46">
        <f>SUM(F1601:F1602)</f>
        <v>77050</v>
      </c>
    </row>
    <row r="1604" ht="13.5" customHeight="1">
      <c r="D1604" s="7"/>
      <c r="E1604" s="14" t="s">
        <v>59</v>
      </c>
      <c r="F1604" s="46">
        <f>ROUND(F1603*0.5,0)</f>
        <v>38525</v>
      </c>
    </row>
    <row r="1605" ht="13.5" customHeight="1">
      <c r="D1605" s="7"/>
      <c r="E1605" s="14" t="s">
        <v>60</v>
      </c>
      <c r="F1605" s="46">
        <f>F1603+F1604</f>
        <v>115575</v>
      </c>
    </row>
    <row r="1606" ht="13.5" customHeight="1">
      <c r="D1606" s="7"/>
      <c r="E1606" s="9"/>
      <c r="F1606" s="9"/>
    </row>
    <row r="1607" ht="13.5" customHeight="1">
      <c r="A1607" s="14" t="s">
        <v>62</v>
      </c>
      <c r="D1607" s="7"/>
      <c r="E1607" s="9"/>
      <c r="F1607" s="9"/>
    </row>
    <row r="1608" ht="13.5" customHeight="1">
      <c r="A1608" s="18" t="s">
        <v>15</v>
      </c>
      <c r="B1608" s="18" t="s">
        <v>17</v>
      </c>
      <c r="C1608" s="18" t="s">
        <v>18</v>
      </c>
      <c r="D1608" s="18" t="s">
        <v>19</v>
      </c>
      <c r="E1608" s="18" t="s">
        <v>20</v>
      </c>
      <c r="F1608" s="18" t="s">
        <v>21</v>
      </c>
    </row>
    <row r="1609" ht="13.5" customHeight="1">
      <c r="A1609" s="21" t="s">
        <v>22</v>
      </c>
      <c r="B1609" s="21" t="s">
        <v>394</v>
      </c>
      <c r="C1609" s="21" t="s">
        <v>51</v>
      </c>
      <c r="D1609" s="144">
        <f>ROUND(1/B1585,2)</f>
        <v>0.67</v>
      </c>
      <c r="E1609" s="21">
        <v>45000.0</v>
      </c>
      <c r="F1609" s="33">
        <f>ROUND(IFERROR(D1609*E1609,0),0)</f>
        <v>30150</v>
      </c>
    </row>
    <row r="1610" ht="13.5" customHeight="1">
      <c r="A1610" s="21"/>
      <c r="B1610" s="21"/>
      <c r="C1610" s="21"/>
      <c r="D1610" s="144"/>
      <c r="E1610" s="21"/>
      <c r="F1610" s="33"/>
    </row>
    <row r="1611" ht="13.5" customHeight="1">
      <c r="D1611" s="7"/>
      <c r="E1611" s="14" t="s">
        <v>37</v>
      </c>
      <c r="F1611" s="46">
        <f>SUM(F1609:F1610)</f>
        <v>30150</v>
      </c>
    </row>
    <row r="1612" ht="13.5" customHeight="1">
      <c r="D1612" s="7"/>
      <c r="E1612" s="9"/>
      <c r="F1612" s="9"/>
    </row>
    <row r="1613" ht="13.5" customHeight="1">
      <c r="A1613" s="14" t="s">
        <v>74</v>
      </c>
      <c r="D1613" s="7"/>
      <c r="E1613" s="9"/>
      <c r="F1613" s="9"/>
    </row>
    <row r="1614" ht="13.5" customHeight="1">
      <c r="A1614" s="18"/>
      <c r="B1614" s="18" t="s">
        <v>17</v>
      </c>
      <c r="C1614" s="18" t="s">
        <v>18</v>
      </c>
      <c r="D1614" s="18" t="s">
        <v>19</v>
      </c>
      <c r="E1614" s="18" t="s">
        <v>20</v>
      </c>
      <c r="F1614" s="18" t="s">
        <v>21</v>
      </c>
    </row>
    <row r="1615" ht="13.5" customHeight="1">
      <c r="D1615" s="7"/>
      <c r="E1615" s="14" t="s">
        <v>77</v>
      </c>
      <c r="F1615" s="46">
        <f>F1597+F1605+F1611</f>
        <v>315059</v>
      </c>
    </row>
    <row r="1616" ht="13.5" customHeight="1">
      <c r="D1616" s="7"/>
      <c r="E1616" s="14" t="s">
        <v>6</v>
      </c>
      <c r="F1616" s="46">
        <f>ROUND(F1615*F1586,0)</f>
        <v>47259</v>
      </c>
    </row>
    <row r="1617" ht="13.5" customHeight="1">
      <c r="D1617" s="7"/>
      <c r="E1617" s="14" t="s">
        <v>8</v>
      </c>
      <c r="F1617" s="46">
        <f>ROUND(F1615*F1587,0)</f>
        <v>63012</v>
      </c>
    </row>
    <row r="1618" ht="13.5" customHeight="1">
      <c r="D1618" s="7"/>
      <c r="E1618" s="14" t="s">
        <v>81</v>
      </c>
      <c r="F1618" s="46">
        <f>F1615+F1616+F1617</f>
        <v>425330</v>
      </c>
    </row>
    <row r="1619" ht="13.5" customHeight="1">
      <c r="D1619" s="7"/>
      <c r="E1619" s="14" t="s">
        <v>82</v>
      </c>
      <c r="F1619" s="46">
        <f>ROUND(F1618*F1588,0)</f>
        <v>80813</v>
      </c>
    </row>
    <row r="1620" ht="13.5" customHeight="1">
      <c r="D1620" s="14" t="s">
        <v>425</v>
      </c>
      <c r="E1620" s="18" t="s">
        <v>84</v>
      </c>
      <c r="F1620" s="53">
        <f>F1618+F1619</f>
        <v>506143</v>
      </c>
    </row>
    <row r="1621" ht="13.5" customHeight="1"/>
    <row r="1622" ht="13.5" customHeight="1"/>
    <row r="1623" ht="13.5" customHeight="1"/>
    <row r="1624" ht="13.5" customHeight="1"/>
    <row r="1625" ht="13.5" customHeight="1"/>
    <row r="1626" ht="13.5" customHeight="1"/>
    <row r="1627" ht="13.5" customHeight="1"/>
    <row r="1628" ht="13.5" customHeight="1"/>
    <row r="1629" ht="13.5" customHeight="1">
      <c r="A1629" s="3" t="s">
        <v>1</v>
      </c>
      <c r="B1629" s="5">
        <v>1.5</v>
      </c>
      <c r="C1629" s="3" t="s">
        <v>2</v>
      </c>
      <c r="D1629" s="7"/>
      <c r="E1629" s="3" t="s">
        <v>3</v>
      </c>
      <c r="F1629" s="9"/>
    </row>
    <row r="1630" ht="13.5" customHeight="1">
      <c r="A1630" s="3" t="s">
        <v>4</v>
      </c>
      <c r="B1630" s="5" t="s">
        <v>30</v>
      </c>
      <c r="D1630" s="7"/>
      <c r="E1630" s="3" t="s">
        <v>6</v>
      </c>
      <c r="F1630" s="10">
        <v>0.15</v>
      </c>
    </row>
    <row r="1631" ht="13.5" customHeight="1">
      <c r="D1631" s="7"/>
      <c r="E1631" s="3" t="s">
        <v>8</v>
      </c>
      <c r="F1631" s="10">
        <v>0.2</v>
      </c>
    </row>
    <row r="1632" ht="13.5" customHeight="1">
      <c r="B1632" s="5" t="s">
        <v>495</v>
      </c>
      <c r="D1632" s="7"/>
      <c r="E1632" s="3" t="s">
        <v>10</v>
      </c>
      <c r="F1632" s="10">
        <v>0.19</v>
      </c>
    </row>
    <row r="1633" ht="13.5" customHeight="1">
      <c r="A1633" s="14" t="s">
        <v>11</v>
      </c>
      <c r="D1633" s="7"/>
      <c r="E1633" s="9"/>
      <c r="F1633" s="9"/>
    </row>
    <row r="1634" ht="13.5" customHeight="1">
      <c r="A1634" s="18" t="s">
        <v>15</v>
      </c>
      <c r="B1634" s="18" t="s">
        <v>17</v>
      </c>
      <c r="C1634" s="18" t="s">
        <v>18</v>
      </c>
      <c r="D1634" s="18" t="s">
        <v>19</v>
      </c>
      <c r="E1634" s="18" t="s">
        <v>20</v>
      </c>
      <c r="F1634" s="18" t="s">
        <v>21</v>
      </c>
    </row>
    <row r="1635" ht="13.5" customHeight="1">
      <c r="A1635" s="21" t="s">
        <v>22</v>
      </c>
      <c r="B1635" s="21" t="s">
        <v>481</v>
      </c>
      <c r="C1635" s="21" t="s">
        <v>5</v>
      </c>
      <c r="D1635" s="21">
        <f>+ROUND(4.875,2)</f>
        <v>4.88</v>
      </c>
      <c r="E1635" s="279">
        <v>65000.0</v>
      </c>
      <c r="F1635" s="33">
        <f t="shared" ref="F1635:F1640" si="83">ROUND(IFERROR(D1635*E1635,0),0)</f>
        <v>317200</v>
      </c>
    </row>
    <row r="1636" ht="13.5" customHeight="1">
      <c r="A1636" s="21" t="s">
        <v>27</v>
      </c>
      <c r="B1636" s="21" t="s">
        <v>482</v>
      </c>
      <c r="C1636" s="21" t="s">
        <v>483</v>
      </c>
      <c r="D1636" s="21">
        <v>1.0</v>
      </c>
      <c r="E1636" s="279">
        <v>10000.0</v>
      </c>
      <c r="F1636" s="33">
        <f t="shared" si="83"/>
        <v>10000</v>
      </c>
    </row>
    <row r="1637" ht="13.5" customHeight="1">
      <c r="A1637" s="21" t="s">
        <v>32</v>
      </c>
      <c r="B1637" s="21" t="s">
        <v>484</v>
      </c>
      <c r="C1637" s="21" t="s">
        <v>171</v>
      </c>
      <c r="D1637" s="21">
        <v>8.78</v>
      </c>
      <c r="E1637" s="279">
        <v>8.7</v>
      </c>
      <c r="F1637" s="33">
        <f t="shared" si="83"/>
        <v>76</v>
      </c>
    </row>
    <row r="1638" ht="13.5" customHeight="1">
      <c r="A1638" s="21" t="s">
        <v>99</v>
      </c>
      <c r="B1638" s="21" t="s">
        <v>485</v>
      </c>
      <c r="C1638" s="21" t="s">
        <v>171</v>
      </c>
      <c r="D1638" s="21">
        <v>7.31</v>
      </c>
      <c r="E1638" s="279">
        <v>495.8</v>
      </c>
      <c r="F1638" s="33">
        <f t="shared" si="83"/>
        <v>3624</v>
      </c>
    </row>
    <row r="1639" ht="13.5" customHeight="1">
      <c r="A1639" s="21" t="s">
        <v>101</v>
      </c>
      <c r="B1639" s="21" t="s">
        <v>486</v>
      </c>
      <c r="C1639" s="21" t="s">
        <v>171</v>
      </c>
      <c r="D1639" s="21">
        <v>2.92</v>
      </c>
      <c r="E1639" s="279">
        <v>7.8</v>
      </c>
      <c r="F1639" s="33">
        <f t="shared" si="83"/>
        <v>23</v>
      </c>
    </row>
    <row r="1640" ht="13.5" customHeight="1">
      <c r="A1640" s="21" t="s">
        <v>107</v>
      </c>
      <c r="B1640" s="21" t="s">
        <v>487</v>
      </c>
      <c r="C1640" s="21" t="s">
        <v>34</v>
      </c>
      <c r="D1640" s="21">
        <v>1.0</v>
      </c>
      <c r="E1640" s="279">
        <v>1500.0</v>
      </c>
      <c r="F1640" s="33">
        <f t="shared" si="83"/>
        <v>1500</v>
      </c>
    </row>
    <row r="1641" ht="13.5" customHeight="1">
      <c r="D1641" s="7"/>
      <c r="E1641" s="14" t="s">
        <v>37</v>
      </c>
      <c r="F1641" s="46">
        <f>SUM(F1635:F1640)</f>
        <v>332423</v>
      </c>
    </row>
    <row r="1642" ht="13.5" customHeight="1">
      <c r="D1642" s="7"/>
      <c r="E1642" s="9"/>
      <c r="F1642" s="9"/>
    </row>
    <row r="1643" ht="13.5" customHeight="1">
      <c r="A1643" s="14" t="s">
        <v>44</v>
      </c>
      <c r="D1643" s="7"/>
      <c r="E1643" s="9"/>
      <c r="F1643" s="9"/>
    </row>
    <row r="1644" ht="13.5" customHeight="1">
      <c r="A1644" s="18" t="s">
        <v>15</v>
      </c>
      <c r="B1644" s="18" t="s">
        <v>17</v>
      </c>
      <c r="C1644" s="18" t="s">
        <v>18</v>
      </c>
      <c r="D1644" s="18" t="s">
        <v>19</v>
      </c>
      <c r="E1644" s="18" t="s">
        <v>20</v>
      </c>
      <c r="F1644" s="18" t="s">
        <v>21</v>
      </c>
    </row>
    <row r="1645" ht="13.5" customHeight="1">
      <c r="A1645" s="21" t="s">
        <v>22</v>
      </c>
      <c r="B1645" s="21" t="s">
        <v>345</v>
      </c>
      <c r="C1645" s="21" t="s">
        <v>51</v>
      </c>
      <c r="D1645" s="187">
        <f>ROUND(1/B1629,2)</f>
        <v>0.67</v>
      </c>
      <c r="E1645" s="21">
        <v>65000.0</v>
      </c>
      <c r="F1645" s="33">
        <f t="shared" ref="F1645:F1646" si="84">ROUND(IFERROR(D1645*E1645,0),0)</f>
        <v>43550</v>
      </c>
    </row>
    <row r="1646" ht="13.5" customHeight="1">
      <c r="A1646" s="21" t="s">
        <v>27</v>
      </c>
      <c r="B1646" s="21" t="s">
        <v>54</v>
      </c>
      <c r="C1646" s="21" t="s">
        <v>51</v>
      </c>
      <c r="D1646" s="187">
        <f>ROUND(1/B1629,2)</f>
        <v>0.67</v>
      </c>
      <c r="E1646" s="21">
        <v>50000.0</v>
      </c>
      <c r="F1646" s="33">
        <f t="shared" si="84"/>
        <v>33500</v>
      </c>
    </row>
    <row r="1647" ht="13.5" customHeight="1">
      <c r="D1647" s="7"/>
      <c r="E1647" s="14" t="s">
        <v>37</v>
      </c>
      <c r="F1647" s="46">
        <f>SUM(F1645:F1646)</f>
        <v>77050</v>
      </c>
    </row>
    <row r="1648" ht="13.5" customHeight="1">
      <c r="D1648" s="7"/>
      <c r="E1648" s="14" t="s">
        <v>59</v>
      </c>
      <c r="F1648" s="46">
        <f>ROUND(F1647*0.5,0)</f>
        <v>38525</v>
      </c>
    </row>
    <row r="1649" ht="13.5" customHeight="1">
      <c r="D1649" s="7"/>
      <c r="E1649" s="14" t="s">
        <v>60</v>
      </c>
      <c r="F1649" s="46">
        <f>F1647+F1648</f>
        <v>115575</v>
      </c>
    </row>
    <row r="1650" ht="13.5" customHeight="1">
      <c r="D1650" s="7"/>
      <c r="E1650" s="9"/>
      <c r="F1650" s="9"/>
    </row>
    <row r="1651" ht="13.5" customHeight="1">
      <c r="A1651" s="14" t="s">
        <v>62</v>
      </c>
      <c r="D1651" s="7"/>
      <c r="E1651" s="9"/>
      <c r="F1651" s="9"/>
    </row>
    <row r="1652" ht="13.5" customHeight="1">
      <c r="A1652" s="18" t="s">
        <v>15</v>
      </c>
      <c r="B1652" s="18" t="s">
        <v>17</v>
      </c>
      <c r="C1652" s="18" t="s">
        <v>18</v>
      </c>
      <c r="D1652" s="18" t="s">
        <v>19</v>
      </c>
      <c r="E1652" s="18" t="s">
        <v>20</v>
      </c>
      <c r="F1652" s="18" t="s">
        <v>21</v>
      </c>
    </row>
    <row r="1653" ht="13.5" customHeight="1">
      <c r="A1653" s="21" t="s">
        <v>22</v>
      </c>
      <c r="B1653" s="21" t="s">
        <v>394</v>
      </c>
      <c r="C1653" s="21" t="s">
        <v>51</v>
      </c>
      <c r="D1653" s="144">
        <f>ROUND(1/B1629,2)</f>
        <v>0.67</v>
      </c>
      <c r="E1653" s="21">
        <v>45000.0</v>
      </c>
      <c r="F1653" s="33">
        <f>ROUND(IFERROR(D1653*E1653,0),0)</f>
        <v>30150</v>
      </c>
    </row>
    <row r="1654" ht="13.5" customHeight="1">
      <c r="A1654" s="21"/>
      <c r="B1654" s="21"/>
      <c r="C1654" s="21"/>
      <c r="D1654" s="144"/>
      <c r="E1654" s="21"/>
      <c r="F1654" s="33"/>
    </row>
    <row r="1655" ht="13.5" customHeight="1">
      <c r="D1655" s="7"/>
      <c r="E1655" s="14" t="s">
        <v>37</v>
      </c>
      <c r="F1655" s="46">
        <f>SUM(F1653:F1654)</f>
        <v>30150</v>
      </c>
    </row>
    <row r="1656" ht="13.5" customHeight="1">
      <c r="D1656" s="7"/>
      <c r="E1656" s="9"/>
      <c r="F1656" s="9"/>
    </row>
    <row r="1657" ht="13.5" customHeight="1">
      <c r="A1657" s="14" t="s">
        <v>74</v>
      </c>
      <c r="D1657" s="7"/>
      <c r="E1657" s="9"/>
      <c r="F1657" s="9"/>
    </row>
    <row r="1658" ht="13.5" customHeight="1">
      <c r="A1658" s="18"/>
      <c r="B1658" s="18" t="s">
        <v>17</v>
      </c>
      <c r="C1658" s="18" t="s">
        <v>18</v>
      </c>
      <c r="D1658" s="18" t="s">
        <v>19</v>
      </c>
      <c r="E1658" s="18" t="s">
        <v>20</v>
      </c>
      <c r="F1658" s="18" t="s">
        <v>21</v>
      </c>
    </row>
    <row r="1659" ht="13.5" customHeight="1">
      <c r="D1659" s="7"/>
      <c r="E1659" s="14" t="s">
        <v>77</v>
      </c>
      <c r="F1659" s="46">
        <f>F1641+F1649+F1655</f>
        <v>478148</v>
      </c>
    </row>
    <row r="1660" ht="13.5" customHeight="1">
      <c r="D1660" s="7"/>
      <c r="E1660" s="14" t="s">
        <v>6</v>
      </c>
      <c r="F1660" s="46">
        <f>ROUND(F1659*F1630,0)</f>
        <v>71722</v>
      </c>
    </row>
    <row r="1661" ht="13.5" customHeight="1">
      <c r="D1661" s="7"/>
      <c r="E1661" s="14" t="s">
        <v>8</v>
      </c>
      <c r="F1661" s="46">
        <f>ROUND(F1659*F1631,0)</f>
        <v>95630</v>
      </c>
    </row>
    <row r="1662" ht="13.5" customHeight="1">
      <c r="D1662" s="7"/>
      <c r="E1662" s="14" t="s">
        <v>81</v>
      </c>
      <c r="F1662" s="46">
        <f>F1659+F1660+F1661</f>
        <v>645500</v>
      </c>
    </row>
    <row r="1663" ht="13.5" customHeight="1">
      <c r="D1663" s="7"/>
      <c r="E1663" s="14" t="s">
        <v>82</v>
      </c>
      <c r="F1663" s="46">
        <f>ROUND(F1662*F1632,0)</f>
        <v>122645</v>
      </c>
    </row>
    <row r="1664" ht="13.5" customHeight="1">
      <c r="D1664" s="14" t="s">
        <v>425</v>
      </c>
      <c r="E1664" s="18" t="s">
        <v>84</v>
      </c>
      <c r="F1664" s="53">
        <f>F1662+F1663</f>
        <v>768145</v>
      </c>
    </row>
    <row r="1665" ht="13.5" customHeight="1"/>
    <row r="1666" ht="13.5" customHeight="1"/>
    <row r="1667" ht="13.5" customHeight="1"/>
    <row r="1668" ht="13.5" customHeight="1"/>
    <row r="1669" ht="13.5" customHeight="1"/>
    <row r="1670" ht="13.5" customHeight="1"/>
    <row r="1671" ht="13.5" customHeight="1"/>
    <row r="1672" ht="13.5" customHeight="1"/>
    <row r="1673" ht="13.5" customHeight="1">
      <c r="A1673" s="3" t="s">
        <v>1</v>
      </c>
      <c r="B1673" s="5">
        <v>1.5</v>
      </c>
      <c r="C1673" s="3" t="s">
        <v>2</v>
      </c>
      <c r="D1673" s="7"/>
      <c r="E1673" s="3" t="s">
        <v>3</v>
      </c>
      <c r="F1673" s="9"/>
    </row>
    <row r="1674" ht="13.5" customHeight="1">
      <c r="A1674" s="3" t="s">
        <v>4</v>
      </c>
      <c r="B1674" s="5" t="s">
        <v>30</v>
      </c>
      <c r="D1674" s="7"/>
      <c r="E1674" s="3" t="s">
        <v>6</v>
      </c>
      <c r="F1674" s="10">
        <v>0.15</v>
      </c>
    </row>
    <row r="1675" ht="13.5" customHeight="1">
      <c r="D1675" s="7"/>
      <c r="E1675" s="3" t="s">
        <v>8</v>
      </c>
      <c r="F1675" s="10">
        <v>0.2</v>
      </c>
    </row>
    <row r="1676" ht="13.5" customHeight="1">
      <c r="B1676" s="5" t="s">
        <v>496</v>
      </c>
      <c r="D1676" s="7"/>
      <c r="E1676" s="3" t="s">
        <v>10</v>
      </c>
      <c r="F1676" s="10">
        <v>0.19</v>
      </c>
    </row>
    <row r="1677" ht="13.5" customHeight="1">
      <c r="A1677" s="14" t="s">
        <v>11</v>
      </c>
      <c r="D1677" s="7"/>
      <c r="E1677" s="9"/>
      <c r="F1677" s="9"/>
    </row>
    <row r="1678" ht="13.5" customHeight="1">
      <c r="A1678" s="18" t="s">
        <v>15</v>
      </c>
      <c r="B1678" s="18" t="s">
        <v>17</v>
      </c>
      <c r="C1678" s="18" t="s">
        <v>18</v>
      </c>
      <c r="D1678" s="18" t="s">
        <v>19</v>
      </c>
      <c r="E1678" s="18" t="s">
        <v>20</v>
      </c>
      <c r="F1678" s="18" t="s">
        <v>21</v>
      </c>
    </row>
    <row r="1679" ht="13.5" customHeight="1">
      <c r="A1679" s="21" t="s">
        <v>22</v>
      </c>
      <c r="B1679" s="21" t="s">
        <v>481</v>
      </c>
      <c r="C1679" s="21" t="s">
        <v>5</v>
      </c>
      <c r="D1679" s="21">
        <f>+ROUND(6.525,2)</f>
        <v>6.53</v>
      </c>
      <c r="E1679" s="279">
        <v>65000.0</v>
      </c>
      <c r="F1679" s="33">
        <f t="shared" ref="F1679:F1684" si="85">ROUND(IFERROR(D1679*E1679,0),0)</f>
        <v>424450</v>
      </c>
    </row>
    <row r="1680" ht="13.5" customHeight="1">
      <c r="A1680" s="21" t="s">
        <v>27</v>
      </c>
      <c r="B1680" s="21" t="s">
        <v>482</v>
      </c>
      <c r="C1680" s="21" t="s">
        <v>483</v>
      </c>
      <c r="D1680" s="21">
        <v>1.0</v>
      </c>
      <c r="E1680" s="279">
        <v>10000.0</v>
      </c>
      <c r="F1680" s="33">
        <f t="shared" si="85"/>
        <v>10000</v>
      </c>
    </row>
    <row r="1681" ht="13.5" customHeight="1">
      <c r="A1681" s="21" t="s">
        <v>32</v>
      </c>
      <c r="B1681" s="21" t="s">
        <v>484</v>
      </c>
      <c r="C1681" s="21" t="s">
        <v>171</v>
      </c>
      <c r="D1681" s="21">
        <v>11.75</v>
      </c>
      <c r="E1681" s="279">
        <v>8.7</v>
      </c>
      <c r="F1681" s="33">
        <f t="shared" si="85"/>
        <v>102</v>
      </c>
    </row>
    <row r="1682" ht="13.5" customHeight="1">
      <c r="A1682" s="21" t="s">
        <v>99</v>
      </c>
      <c r="B1682" s="21" t="s">
        <v>485</v>
      </c>
      <c r="C1682" s="21" t="s">
        <v>171</v>
      </c>
      <c r="D1682" s="21">
        <v>9.79</v>
      </c>
      <c r="E1682" s="279">
        <v>495.8</v>
      </c>
      <c r="F1682" s="33">
        <f t="shared" si="85"/>
        <v>4854</v>
      </c>
    </row>
    <row r="1683" ht="13.5" customHeight="1">
      <c r="A1683" s="21" t="s">
        <v>101</v>
      </c>
      <c r="B1683" s="21" t="s">
        <v>486</v>
      </c>
      <c r="C1683" s="21" t="s">
        <v>171</v>
      </c>
      <c r="D1683" s="21">
        <v>3.92</v>
      </c>
      <c r="E1683" s="279">
        <v>7.8</v>
      </c>
      <c r="F1683" s="33">
        <f t="shared" si="85"/>
        <v>31</v>
      </c>
    </row>
    <row r="1684" ht="13.5" customHeight="1">
      <c r="A1684" s="21" t="s">
        <v>107</v>
      </c>
      <c r="B1684" s="21" t="s">
        <v>487</v>
      </c>
      <c r="C1684" s="21" t="s">
        <v>34</v>
      </c>
      <c r="D1684" s="21">
        <v>1.0</v>
      </c>
      <c r="E1684" s="279">
        <v>1500.0</v>
      </c>
      <c r="F1684" s="33">
        <f t="shared" si="85"/>
        <v>1500</v>
      </c>
    </row>
    <row r="1685" ht="13.5" customHeight="1">
      <c r="D1685" s="7"/>
      <c r="E1685" s="14" t="s">
        <v>37</v>
      </c>
      <c r="F1685" s="46">
        <f>SUM(F1679:F1684)</f>
        <v>440937</v>
      </c>
    </row>
    <row r="1686" ht="13.5" customHeight="1">
      <c r="D1686" s="7"/>
      <c r="E1686" s="9"/>
      <c r="F1686" s="9"/>
    </row>
    <row r="1687" ht="13.5" customHeight="1">
      <c r="A1687" s="14" t="s">
        <v>44</v>
      </c>
      <c r="D1687" s="7"/>
      <c r="E1687" s="9"/>
      <c r="F1687" s="9"/>
    </row>
    <row r="1688" ht="13.5" customHeight="1">
      <c r="A1688" s="18" t="s">
        <v>15</v>
      </c>
      <c r="B1688" s="18" t="s">
        <v>17</v>
      </c>
      <c r="C1688" s="18" t="s">
        <v>18</v>
      </c>
      <c r="D1688" s="18" t="s">
        <v>19</v>
      </c>
      <c r="E1688" s="18" t="s">
        <v>20</v>
      </c>
      <c r="F1688" s="18" t="s">
        <v>21</v>
      </c>
    </row>
    <row r="1689" ht="13.5" customHeight="1">
      <c r="A1689" s="21" t="s">
        <v>22</v>
      </c>
      <c r="B1689" s="21" t="s">
        <v>345</v>
      </c>
      <c r="C1689" s="21" t="s">
        <v>51</v>
      </c>
      <c r="D1689" s="187">
        <f>ROUND(1/B1673,2)</f>
        <v>0.67</v>
      </c>
      <c r="E1689" s="21">
        <v>65000.0</v>
      </c>
      <c r="F1689" s="33">
        <f t="shared" ref="F1689:F1690" si="86">ROUND(IFERROR(D1689*E1689,0),0)</f>
        <v>43550</v>
      </c>
    </row>
    <row r="1690" ht="13.5" customHeight="1">
      <c r="A1690" s="21" t="s">
        <v>27</v>
      </c>
      <c r="B1690" s="21" t="s">
        <v>54</v>
      </c>
      <c r="C1690" s="21" t="s">
        <v>51</v>
      </c>
      <c r="D1690" s="187">
        <f>ROUND(1/B1673,2)</f>
        <v>0.67</v>
      </c>
      <c r="E1690" s="21">
        <v>50000.0</v>
      </c>
      <c r="F1690" s="33">
        <f t="shared" si="86"/>
        <v>33500</v>
      </c>
    </row>
    <row r="1691" ht="13.5" customHeight="1">
      <c r="D1691" s="7"/>
      <c r="E1691" s="14" t="s">
        <v>37</v>
      </c>
      <c r="F1691" s="46">
        <f>SUM(F1689:F1690)</f>
        <v>77050</v>
      </c>
    </row>
    <row r="1692" ht="13.5" customHeight="1">
      <c r="D1692" s="7"/>
      <c r="E1692" s="14" t="s">
        <v>59</v>
      </c>
      <c r="F1692" s="46">
        <f>ROUND(F1691*0.5,0)</f>
        <v>38525</v>
      </c>
    </row>
    <row r="1693" ht="13.5" customHeight="1">
      <c r="D1693" s="7"/>
      <c r="E1693" s="14" t="s">
        <v>60</v>
      </c>
      <c r="F1693" s="46">
        <f>F1691+F1692</f>
        <v>115575</v>
      </c>
    </row>
    <row r="1694" ht="13.5" customHeight="1">
      <c r="D1694" s="7"/>
      <c r="E1694" s="9"/>
      <c r="F1694" s="9"/>
    </row>
    <row r="1695" ht="13.5" customHeight="1">
      <c r="A1695" s="14" t="s">
        <v>62</v>
      </c>
      <c r="D1695" s="7"/>
      <c r="E1695" s="9"/>
      <c r="F1695" s="9"/>
    </row>
    <row r="1696" ht="13.5" customHeight="1">
      <c r="A1696" s="18" t="s">
        <v>15</v>
      </c>
      <c r="B1696" s="18" t="s">
        <v>17</v>
      </c>
      <c r="C1696" s="18" t="s">
        <v>18</v>
      </c>
      <c r="D1696" s="18" t="s">
        <v>19</v>
      </c>
      <c r="E1696" s="18" t="s">
        <v>20</v>
      </c>
      <c r="F1696" s="18" t="s">
        <v>21</v>
      </c>
    </row>
    <row r="1697" ht="13.5" customHeight="1">
      <c r="A1697" s="21" t="s">
        <v>22</v>
      </c>
      <c r="B1697" s="21" t="s">
        <v>394</v>
      </c>
      <c r="C1697" s="21" t="s">
        <v>51</v>
      </c>
      <c r="D1697" s="144">
        <f>ROUND(1/B1673,2)</f>
        <v>0.67</v>
      </c>
      <c r="E1697" s="21">
        <v>45000.0</v>
      </c>
      <c r="F1697" s="33">
        <f>ROUND(IFERROR(D1697*E1697,0),0)</f>
        <v>30150</v>
      </c>
    </row>
    <row r="1698" ht="13.5" customHeight="1">
      <c r="A1698" s="21"/>
      <c r="B1698" s="21"/>
      <c r="C1698" s="21"/>
      <c r="D1698" s="144"/>
      <c r="E1698" s="21"/>
      <c r="F1698" s="33"/>
    </row>
    <row r="1699" ht="13.5" customHeight="1">
      <c r="D1699" s="7"/>
      <c r="E1699" s="14" t="s">
        <v>37</v>
      </c>
      <c r="F1699" s="46">
        <f>SUM(F1697:F1698)</f>
        <v>30150</v>
      </c>
    </row>
    <row r="1700" ht="13.5" customHeight="1">
      <c r="D1700" s="7"/>
      <c r="E1700" s="9"/>
      <c r="F1700" s="9"/>
    </row>
    <row r="1701" ht="13.5" customHeight="1">
      <c r="A1701" s="14" t="s">
        <v>74</v>
      </c>
      <c r="D1701" s="7"/>
      <c r="E1701" s="9"/>
      <c r="F1701" s="9"/>
    </row>
    <row r="1702" ht="13.5" customHeight="1">
      <c r="A1702" s="18"/>
      <c r="B1702" s="18" t="s">
        <v>17</v>
      </c>
      <c r="C1702" s="18" t="s">
        <v>18</v>
      </c>
      <c r="D1702" s="18" t="s">
        <v>19</v>
      </c>
      <c r="E1702" s="18" t="s">
        <v>20</v>
      </c>
      <c r="F1702" s="18" t="s">
        <v>21</v>
      </c>
    </row>
    <row r="1703" ht="13.5" customHeight="1">
      <c r="D1703" s="7"/>
      <c r="E1703" s="14" t="s">
        <v>77</v>
      </c>
      <c r="F1703" s="46">
        <f>F1685+F1693+F1699</f>
        <v>586662</v>
      </c>
    </row>
    <row r="1704" ht="13.5" customHeight="1">
      <c r="D1704" s="7"/>
      <c r="E1704" s="14" t="s">
        <v>6</v>
      </c>
      <c r="F1704" s="46">
        <f>ROUND(F1703*F1674,0)</f>
        <v>87999</v>
      </c>
    </row>
    <row r="1705" ht="13.5" customHeight="1">
      <c r="D1705" s="7"/>
      <c r="E1705" s="14" t="s">
        <v>8</v>
      </c>
      <c r="F1705" s="46">
        <f>ROUND(F1703*F1675,0)</f>
        <v>117332</v>
      </c>
    </row>
    <row r="1706" ht="13.5" customHeight="1">
      <c r="D1706" s="7"/>
      <c r="E1706" s="14" t="s">
        <v>81</v>
      </c>
      <c r="F1706" s="46">
        <f>F1703+F1704+F1705</f>
        <v>791993</v>
      </c>
    </row>
    <row r="1707" ht="13.5" customHeight="1">
      <c r="D1707" s="7"/>
      <c r="E1707" s="14" t="s">
        <v>82</v>
      </c>
      <c r="F1707" s="46">
        <f>ROUND(F1706*F1676,0)</f>
        <v>150479</v>
      </c>
    </row>
    <row r="1708" ht="13.5" customHeight="1">
      <c r="D1708" s="14" t="s">
        <v>425</v>
      </c>
      <c r="E1708" s="18" t="s">
        <v>84</v>
      </c>
      <c r="F1708" s="53">
        <f>F1706+F1707</f>
        <v>942472</v>
      </c>
    </row>
    <row r="1709" ht="13.5" customHeight="1"/>
    <row r="1710" ht="13.5" customHeight="1"/>
    <row r="1711" ht="13.5" customHeight="1"/>
    <row r="1712" ht="13.5" customHeight="1"/>
    <row r="1713" ht="13.5" customHeight="1"/>
    <row r="1714" ht="13.5" customHeight="1"/>
    <row r="1715" ht="13.5" customHeight="1"/>
    <row r="1716" ht="13.5" customHeight="1"/>
    <row r="1717" ht="13.5" customHeight="1">
      <c r="A1717" s="3" t="s">
        <v>1</v>
      </c>
      <c r="B1717" s="5">
        <v>1.5</v>
      </c>
      <c r="C1717" s="3" t="s">
        <v>2</v>
      </c>
      <c r="D1717" s="7"/>
      <c r="E1717" s="3" t="s">
        <v>3</v>
      </c>
      <c r="F1717" s="9"/>
    </row>
    <row r="1718" ht="13.5" customHeight="1">
      <c r="A1718" s="3" t="s">
        <v>4</v>
      </c>
      <c r="B1718" s="5" t="s">
        <v>30</v>
      </c>
      <c r="D1718" s="7"/>
      <c r="E1718" s="3" t="s">
        <v>6</v>
      </c>
      <c r="F1718" s="10">
        <v>0.15</v>
      </c>
    </row>
    <row r="1719" ht="13.5" customHeight="1">
      <c r="D1719" s="7"/>
      <c r="E1719" s="3" t="s">
        <v>8</v>
      </c>
      <c r="F1719" s="10">
        <v>0.2</v>
      </c>
    </row>
    <row r="1720" ht="13.5" customHeight="1">
      <c r="B1720" s="5" t="s">
        <v>497</v>
      </c>
      <c r="D1720" s="7"/>
      <c r="E1720" s="3" t="s">
        <v>10</v>
      </c>
      <c r="F1720" s="10">
        <v>0.19</v>
      </c>
    </row>
    <row r="1721" ht="13.5" customHeight="1">
      <c r="A1721" s="14" t="s">
        <v>11</v>
      </c>
      <c r="D1721" s="7"/>
      <c r="E1721" s="9"/>
      <c r="F1721" s="9"/>
    </row>
    <row r="1722" ht="13.5" customHeight="1">
      <c r="A1722" s="18" t="s">
        <v>15</v>
      </c>
      <c r="B1722" s="18" t="s">
        <v>17</v>
      </c>
      <c r="C1722" s="18" t="s">
        <v>18</v>
      </c>
      <c r="D1722" s="18" t="s">
        <v>19</v>
      </c>
      <c r="E1722" s="18" t="s">
        <v>20</v>
      </c>
      <c r="F1722" s="18" t="s">
        <v>21</v>
      </c>
    </row>
    <row r="1723" ht="13.5" customHeight="1">
      <c r="A1723" s="21" t="s">
        <v>22</v>
      </c>
      <c r="B1723" s="21" t="s">
        <v>481</v>
      </c>
      <c r="C1723" s="21" t="s">
        <v>5</v>
      </c>
      <c r="D1723" s="21">
        <v>0.72</v>
      </c>
      <c r="E1723" s="279">
        <v>65000.0</v>
      </c>
      <c r="F1723" s="33">
        <f t="shared" ref="F1723:F1728" si="87">ROUND(IFERROR(D1723*E1723,0),0)</f>
        <v>46800</v>
      </c>
    </row>
    <row r="1724" ht="13.5" customHeight="1">
      <c r="A1724" s="21" t="s">
        <v>27</v>
      </c>
      <c r="B1724" s="21" t="s">
        <v>482</v>
      </c>
      <c r="C1724" s="21" t="s">
        <v>483</v>
      </c>
      <c r="D1724" s="21">
        <v>1.0</v>
      </c>
      <c r="E1724" s="279">
        <v>10000.0</v>
      </c>
      <c r="F1724" s="33">
        <f t="shared" si="87"/>
        <v>10000</v>
      </c>
    </row>
    <row r="1725" ht="13.5" customHeight="1">
      <c r="A1725" s="21" t="s">
        <v>32</v>
      </c>
      <c r="B1725" s="21" t="s">
        <v>484</v>
      </c>
      <c r="C1725" s="21" t="s">
        <v>171</v>
      </c>
      <c r="D1725" s="21">
        <v>1.3</v>
      </c>
      <c r="E1725" s="279">
        <v>8.7</v>
      </c>
      <c r="F1725" s="33">
        <f t="shared" si="87"/>
        <v>11</v>
      </c>
    </row>
    <row r="1726" ht="13.5" customHeight="1">
      <c r="A1726" s="21" t="s">
        <v>99</v>
      </c>
      <c r="B1726" s="21" t="s">
        <v>485</v>
      </c>
      <c r="C1726" s="21" t="s">
        <v>171</v>
      </c>
      <c r="D1726" s="21">
        <v>1.08</v>
      </c>
      <c r="E1726" s="279">
        <v>495.8</v>
      </c>
      <c r="F1726" s="33">
        <f t="shared" si="87"/>
        <v>535</v>
      </c>
    </row>
    <row r="1727" ht="13.5" customHeight="1">
      <c r="A1727" s="21" t="s">
        <v>101</v>
      </c>
      <c r="B1727" s="21" t="s">
        <v>486</v>
      </c>
      <c r="C1727" s="21" t="s">
        <v>171</v>
      </c>
      <c r="D1727" s="21">
        <v>0.43</v>
      </c>
      <c r="E1727" s="279">
        <v>7.8</v>
      </c>
      <c r="F1727" s="33">
        <f t="shared" si="87"/>
        <v>3</v>
      </c>
    </row>
    <row r="1728" ht="13.5" customHeight="1">
      <c r="A1728" s="21" t="s">
        <v>107</v>
      </c>
      <c r="B1728" s="21" t="s">
        <v>487</v>
      </c>
      <c r="C1728" s="21" t="s">
        <v>34</v>
      </c>
      <c r="D1728" s="21">
        <v>1.0</v>
      </c>
      <c r="E1728" s="279">
        <v>1500.0</v>
      </c>
      <c r="F1728" s="33">
        <f t="shared" si="87"/>
        <v>1500</v>
      </c>
    </row>
    <row r="1729" ht="13.5" customHeight="1">
      <c r="D1729" s="7"/>
      <c r="E1729" s="14" t="s">
        <v>37</v>
      </c>
      <c r="F1729" s="46">
        <f>SUM(F1723:F1728)</f>
        <v>58849</v>
      </c>
    </row>
    <row r="1730" ht="13.5" customHeight="1">
      <c r="D1730" s="7"/>
      <c r="E1730" s="9"/>
      <c r="F1730" s="9"/>
    </row>
    <row r="1731" ht="13.5" customHeight="1">
      <c r="A1731" s="14" t="s">
        <v>44</v>
      </c>
      <c r="D1731" s="7"/>
      <c r="E1731" s="9"/>
      <c r="F1731" s="9"/>
    </row>
    <row r="1732" ht="13.5" customHeight="1">
      <c r="A1732" s="18" t="s">
        <v>15</v>
      </c>
      <c r="B1732" s="18" t="s">
        <v>17</v>
      </c>
      <c r="C1732" s="18" t="s">
        <v>18</v>
      </c>
      <c r="D1732" s="18" t="s">
        <v>19</v>
      </c>
      <c r="E1732" s="18" t="s">
        <v>20</v>
      </c>
      <c r="F1732" s="18" t="s">
        <v>21</v>
      </c>
    </row>
    <row r="1733" ht="13.5" customHeight="1">
      <c r="A1733" s="21" t="s">
        <v>22</v>
      </c>
      <c r="B1733" s="21" t="s">
        <v>345</v>
      </c>
      <c r="C1733" s="21" t="s">
        <v>51</v>
      </c>
      <c r="D1733" s="187">
        <f>ROUND(1/B1717,2)</f>
        <v>0.67</v>
      </c>
      <c r="E1733" s="21">
        <v>65000.0</v>
      </c>
      <c r="F1733" s="33">
        <f t="shared" ref="F1733:F1734" si="88">ROUND(IFERROR(D1733*E1733,0),0)</f>
        <v>43550</v>
      </c>
    </row>
    <row r="1734" ht="13.5" customHeight="1">
      <c r="A1734" s="21" t="s">
        <v>27</v>
      </c>
      <c r="B1734" s="21" t="s">
        <v>54</v>
      </c>
      <c r="C1734" s="21" t="s">
        <v>51</v>
      </c>
      <c r="D1734" s="187">
        <f>ROUND(1/B1717,2)</f>
        <v>0.67</v>
      </c>
      <c r="E1734" s="21">
        <v>50000.0</v>
      </c>
      <c r="F1734" s="33">
        <f t="shared" si="88"/>
        <v>33500</v>
      </c>
    </row>
    <row r="1735" ht="13.5" customHeight="1">
      <c r="D1735" s="7"/>
      <c r="E1735" s="14" t="s">
        <v>37</v>
      </c>
      <c r="F1735" s="46">
        <f>SUM(F1733:F1734)</f>
        <v>77050</v>
      </c>
    </row>
    <row r="1736" ht="13.5" customHeight="1">
      <c r="D1736" s="7"/>
      <c r="E1736" s="14" t="s">
        <v>59</v>
      </c>
      <c r="F1736" s="46">
        <f>ROUND(F1735*0.5,0)</f>
        <v>38525</v>
      </c>
    </row>
    <row r="1737" ht="13.5" customHeight="1">
      <c r="D1737" s="7"/>
      <c r="E1737" s="14" t="s">
        <v>60</v>
      </c>
      <c r="F1737" s="46">
        <f>F1735+F1736</f>
        <v>115575</v>
      </c>
    </row>
    <row r="1738" ht="13.5" customHeight="1">
      <c r="D1738" s="7"/>
      <c r="E1738" s="9"/>
      <c r="F1738" s="9"/>
    </row>
    <row r="1739" ht="13.5" customHeight="1">
      <c r="A1739" s="14" t="s">
        <v>62</v>
      </c>
      <c r="D1739" s="7"/>
      <c r="E1739" s="9"/>
      <c r="F1739" s="9"/>
    </row>
    <row r="1740" ht="13.5" customHeight="1">
      <c r="A1740" s="18" t="s">
        <v>15</v>
      </c>
      <c r="B1740" s="18" t="s">
        <v>17</v>
      </c>
      <c r="C1740" s="18" t="s">
        <v>18</v>
      </c>
      <c r="D1740" s="18" t="s">
        <v>19</v>
      </c>
      <c r="E1740" s="18" t="s">
        <v>20</v>
      </c>
      <c r="F1740" s="18" t="s">
        <v>21</v>
      </c>
    </row>
    <row r="1741" ht="13.5" customHeight="1">
      <c r="A1741" s="21" t="s">
        <v>22</v>
      </c>
      <c r="B1741" s="21" t="s">
        <v>394</v>
      </c>
      <c r="C1741" s="21" t="s">
        <v>51</v>
      </c>
      <c r="D1741" s="144">
        <f>ROUND(1/B1717,2)</f>
        <v>0.67</v>
      </c>
      <c r="E1741" s="21">
        <v>45000.0</v>
      </c>
      <c r="F1741" s="33">
        <f>ROUND(IFERROR(D1741*E1741,0),0)</f>
        <v>30150</v>
      </c>
    </row>
    <row r="1742" ht="13.5" customHeight="1">
      <c r="A1742" s="21"/>
      <c r="B1742" s="21"/>
      <c r="C1742" s="21"/>
      <c r="D1742" s="144"/>
      <c r="E1742" s="21"/>
      <c r="F1742" s="33"/>
    </row>
    <row r="1743" ht="13.5" customHeight="1">
      <c r="D1743" s="7"/>
      <c r="E1743" s="14" t="s">
        <v>37</v>
      </c>
      <c r="F1743" s="46">
        <f>SUM(F1741:F1742)</f>
        <v>30150</v>
      </c>
    </row>
    <row r="1744" ht="13.5" customHeight="1">
      <c r="D1744" s="7"/>
      <c r="E1744" s="9"/>
      <c r="F1744" s="9"/>
    </row>
    <row r="1745" ht="13.5" customHeight="1">
      <c r="A1745" s="14" t="s">
        <v>74</v>
      </c>
      <c r="D1745" s="7"/>
      <c r="E1745" s="9"/>
      <c r="F1745" s="9"/>
    </row>
    <row r="1746" ht="13.5" customHeight="1">
      <c r="A1746" s="18"/>
      <c r="B1746" s="18" t="s">
        <v>17</v>
      </c>
      <c r="C1746" s="18" t="s">
        <v>18</v>
      </c>
      <c r="D1746" s="18" t="s">
        <v>19</v>
      </c>
      <c r="E1746" s="18" t="s">
        <v>20</v>
      </c>
      <c r="F1746" s="18" t="s">
        <v>21</v>
      </c>
    </row>
    <row r="1747" ht="13.5" customHeight="1">
      <c r="D1747" s="7"/>
      <c r="E1747" s="14" t="s">
        <v>77</v>
      </c>
      <c r="F1747" s="46">
        <f>F1729+F1737+F1743</f>
        <v>204574</v>
      </c>
    </row>
    <row r="1748" ht="13.5" customHeight="1">
      <c r="D1748" s="7"/>
      <c r="E1748" s="14" t="s">
        <v>6</v>
      </c>
      <c r="F1748" s="46">
        <f>ROUND(F1747*F1718,0)</f>
        <v>30686</v>
      </c>
    </row>
    <row r="1749" ht="13.5" customHeight="1">
      <c r="D1749" s="7"/>
      <c r="E1749" s="14" t="s">
        <v>8</v>
      </c>
      <c r="F1749" s="46">
        <f>ROUND(F1747*F1719,0)</f>
        <v>40915</v>
      </c>
    </row>
    <row r="1750" ht="13.5" customHeight="1">
      <c r="D1750" s="7"/>
      <c r="E1750" s="14" t="s">
        <v>81</v>
      </c>
      <c r="F1750" s="46">
        <f>F1747+F1748+F1749</f>
        <v>276175</v>
      </c>
    </row>
    <row r="1751" ht="13.5" customHeight="1">
      <c r="D1751" s="7"/>
      <c r="E1751" s="14" t="s">
        <v>82</v>
      </c>
      <c r="F1751" s="46">
        <f>ROUND(F1750*F1720,0)</f>
        <v>52473</v>
      </c>
    </row>
    <row r="1752" ht="13.5" customHeight="1">
      <c r="D1752" s="14" t="s">
        <v>425</v>
      </c>
      <c r="E1752" s="18" t="s">
        <v>84</v>
      </c>
      <c r="F1752" s="53">
        <f>F1750+F1751</f>
        <v>328648</v>
      </c>
    </row>
    <row r="1753" ht="13.5" customHeight="1"/>
    <row r="1754" ht="13.5" customHeight="1"/>
    <row r="1755" ht="13.5" customHeight="1"/>
    <row r="1756" ht="13.5" customHeight="1"/>
    <row r="1757" ht="13.5" customHeight="1"/>
    <row r="1758" ht="13.5" customHeight="1"/>
    <row r="1759" ht="13.5" customHeight="1"/>
    <row r="1760" ht="13.5" customHeight="1"/>
    <row r="1761" ht="13.5" customHeight="1">
      <c r="A1761" s="3" t="s">
        <v>1</v>
      </c>
      <c r="B1761" s="5">
        <v>1.5</v>
      </c>
      <c r="C1761" s="3" t="s">
        <v>2</v>
      </c>
      <c r="D1761" s="7"/>
      <c r="E1761" s="3" t="s">
        <v>3</v>
      </c>
      <c r="F1761" s="9"/>
    </row>
    <row r="1762" ht="13.5" customHeight="1">
      <c r="A1762" s="3" t="s">
        <v>4</v>
      </c>
      <c r="B1762" s="5" t="s">
        <v>30</v>
      </c>
      <c r="D1762" s="7"/>
      <c r="E1762" s="3" t="s">
        <v>6</v>
      </c>
      <c r="F1762" s="10">
        <v>0.15</v>
      </c>
    </row>
    <row r="1763" ht="13.5" customHeight="1">
      <c r="D1763" s="7"/>
      <c r="E1763" s="3" t="s">
        <v>8</v>
      </c>
      <c r="F1763" s="10">
        <v>0.2</v>
      </c>
    </row>
    <row r="1764" ht="13.5" customHeight="1">
      <c r="B1764" s="5" t="s">
        <v>498</v>
      </c>
      <c r="D1764" s="7"/>
      <c r="E1764" s="3" t="s">
        <v>10</v>
      </c>
      <c r="F1764" s="10">
        <v>0.19</v>
      </c>
    </row>
    <row r="1765" ht="13.5" customHeight="1">
      <c r="A1765" s="14" t="s">
        <v>11</v>
      </c>
      <c r="D1765" s="7"/>
      <c r="E1765" s="9"/>
      <c r="F1765" s="9"/>
    </row>
    <row r="1766" ht="13.5" customHeight="1">
      <c r="A1766" s="18" t="s">
        <v>15</v>
      </c>
      <c r="B1766" s="18" t="s">
        <v>17</v>
      </c>
      <c r="C1766" s="18" t="s">
        <v>18</v>
      </c>
      <c r="D1766" s="18" t="s">
        <v>19</v>
      </c>
      <c r="E1766" s="18" t="s">
        <v>20</v>
      </c>
      <c r="F1766" s="18" t="s">
        <v>21</v>
      </c>
    </row>
    <row r="1767" ht="13.5" customHeight="1">
      <c r="A1767" s="21" t="s">
        <v>22</v>
      </c>
      <c r="B1767" s="21" t="s">
        <v>481</v>
      </c>
      <c r="C1767" s="21" t="s">
        <v>5</v>
      </c>
      <c r="D1767" s="21">
        <v>0.84</v>
      </c>
      <c r="E1767" s="279">
        <v>65000.0</v>
      </c>
      <c r="F1767" s="33">
        <f t="shared" ref="F1767:F1772" si="89">ROUND(IFERROR(D1767*E1767,0),0)</f>
        <v>54600</v>
      </c>
    </row>
    <row r="1768" ht="13.5" customHeight="1">
      <c r="A1768" s="21" t="s">
        <v>27</v>
      </c>
      <c r="B1768" s="21" t="s">
        <v>482</v>
      </c>
      <c r="C1768" s="21" t="s">
        <v>483</v>
      </c>
      <c r="D1768" s="21">
        <v>1.0</v>
      </c>
      <c r="E1768" s="279">
        <v>10000.0</v>
      </c>
      <c r="F1768" s="33">
        <f t="shared" si="89"/>
        <v>10000</v>
      </c>
    </row>
    <row r="1769" ht="13.5" customHeight="1">
      <c r="A1769" s="21" t="s">
        <v>32</v>
      </c>
      <c r="B1769" s="21" t="s">
        <v>484</v>
      </c>
      <c r="C1769" s="21" t="s">
        <v>171</v>
      </c>
      <c r="D1769" s="21">
        <v>1.51</v>
      </c>
      <c r="E1769" s="279">
        <v>8.7</v>
      </c>
      <c r="F1769" s="33">
        <f t="shared" si="89"/>
        <v>13</v>
      </c>
    </row>
    <row r="1770" ht="13.5" customHeight="1">
      <c r="A1770" s="21" t="s">
        <v>99</v>
      </c>
      <c r="B1770" s="21" t="s">
        <v>485</v>
      </c>
      <c r="C1770" s="21" t="s">
        <v>171</v>
      </c>
      <c r="D1770" s="21">
        <v>1.26</v>
      </c>
      <c r="E1770" s="279">
        <v>495.8</v>
      </c>
      <c r="F1770" s="33">
        <f t="shared" si="89"/>
        <v>625</v>
      </c>
    </row>
    <row r="1771" ht="13.5" customHeight="1">
      <c r="A1771" s="21" t="s">
        <v>101</v>
      </c>
      <c r="B1771" s="21" t="s">
        <v>486</v>
      </c>
      <c r="C1771" s="21" t="s">
        <v>171</v>
      </c>
      <c r="D1771" s="21">
        <v>0.5</v>
      </c>
      <c r="E1771" s="279">
        <v>7.8</v>
      </c>
      <c r="F1771" s="33">
        <f t="shared" si="89"/>
        <v>4</v>
      </c>
    </row>
    <row r="1772" ht="13.5" customHeight="1">
      <c r="A1772" s="21" t="s">
        <v>107</v>
      </c>
      <c r="B1772" s="21" t="s">
        <v>487</v>
      </c>
      <c r="C1772" s="21" t="s">
        <v>34</v>
      </c>
      <c r="D1772" s="21">
        <v>1.0</v>
      </c>
      <c r="E1772" s="279">
        <v>1500.0</v>
      </c>
      <c r="F1772" s="33">
        <f t="shared" si="89"/>
        <v>1500</v>
      </c>
    </row>
    <row r="1773" ht="13.5" customHeight="1">
      <c r="D1773" s="7"/>
      <c r="E1773" s="14" t="s">
        <v>37</v>
      </c>
      <c r="F1773" s="46">
        <f>SUM(F1767:F1772)</f>
        <v>66742</v>
      </c>
    </row>
    <row r="1774" ht="13.5" customHeight="1">
      <c r="D1774" s="7"/>
      <c r="E1774" s="9"/>
      <c r="F1774" s="9"/>
    </row>
    <row r="1775" ht="13.5" customHeight="1">
      <c r="A1775" s="14" t="s">
        <v>44</v>
      </c>
      <c r="D1775" s="7"/>
      <c r="E1775" s="9"/>
      <c r="F1775" s="9"/>
    </row>
    <row r="1776" ht="13.5" customHeight="1">
      <c r="A1776" s="18" t="s">
        <v>15</v>
      </c>
      <c r="B1776" s="18" t="s">
        <v>17</v>
      </c>
      <c r="C1776" s="18" t="s">
        <v>18</v>
      </c>
      <c r="D1776" s="18" t="s">
        <v>19</v>
      </c>
      <c r="E1776" s="18" t="s">
        <v>20</v>
      </c>
      <c r="F1776" s="18" t="s">
        <v>21</v>
      </c>
    </row>
    <row r="1777" ht="13.5" customHeight="1">
      <c r="A1777" s="21" t="s">
        <v>22</v>
      </c>
      <c r="B1777" s="21" t="s">
        <v>345</v>
      </c>
      <c r="C1777" s="21" t="s">
        <v>51</v>
      </c>
      <c r="D1777" s="187">
        <f>ROUND(1/B1761,2)</f>
        <v>0.67</v>
      </c>
      <c r="E1777" s="21">
        <v>65000.0</v>
      </c>
      <c r="F1777" s="33">
        <f t="shared" ref="F1777:F1778" si="90">ROUND(IFERROR(D1777*E1777,0),0)</f>
        <v>43550</v>
      </c>
    </row>
    <row r="1778" ht="13.5" customHeight="1">
      <c r="A1778" s="21" t="s">
        <v>27</v>
      </c>
      <c r="B1778" s="21" t="s">
        <v>54</v>
      </c>
      <c r="C1778" s="21" t="s">
        <v>51</v>
      </c>
      <c r="D1778" s="187">
        <f>ROUND(1/B1761,2)</f>
        <v>0.67</v>
      </c>
      <c r="E1778" s="21">
        <v>50000.0</v>
      </c>
      <c r="F1778" s="33">
        <f t="shared" si="90"/>
        <v>33500</v>
      </c>
    </row>
    <row r="1779" ht="13.5" customHeight="1">
      <c r="D1779" s="7"/>
      <c r="E1779" s="14" t="s">
        <v>37</v>
      </c>
      <c r="F1779" s="46">
        <f>SUM(F1777:F1778)</f>
        <v>77050</v>
      </c>
    </row>
    <row r="1780" ht="13.5" customHeight="1">
      <c r="D1780" s="7"/>
      <c r="E1780" s="14" t="s">
        <v>59</v>
      </c>
      <c r="F1780" s="46">
        <f>ROUND(F1779*0.5,0)</f>
        <v>38525</v>
      </c>
    </row>
    <row r="1781" ht="13.5" customHeight="1">
      <c r="D1781" s="7"/>
      <c r="E1781" s="14" t="s">
        <v>60</v>
      </c>
      <c r="F1781" s="46">
        <f>F1779+F1780</f>
        <v>115575</v>
      </c>
    </row>
    <row r="1782" ht="13.5" customHeight="1">
      <c r="D1782" s="7"/>
      <c r="E1782" s="9"/>
      <c r="F1782" s="9"/>
    </row>
    <row r="1783" ht="13.5" customHeight="1">
      <c r="A1783" s="14" t="s">
        <v>62</v>
      </c>
      <c r="D1783" s="7"/>
      <c r="E1783" s="9"/>
      <c r="F1783" s="9"/>
    </row>
    <row r="1784" ht="13.5" customHeight="1">
      <c r="A1784" s="18" t="s">
        <v>15</v>
      </c>
      <c r="B1784" s="18" t="s">
        <v>17</v>
      </c>
      <c r="C1784" s="18" t="s">
        <v>18</v>
      </c>
      <c r="D1784" s="18" t="s">
        <v>19</v>
      </c>
      <c r="E1784" s="18" t="s">
        <v>20</v>
      </c>
      <c r="F1784" s="18" t="s">
        <v>21</v>
      </c>
    </row>
    <row r="1785" ht="13.5" customHeight="1">
      <c r="A1785" s="21" t="s">
        <v>22</v>
      </c>
      <c r="B1785" s="21" t="s">
        <v>394</v>
      </c>
      <c r="C1785" s="21" t="s">
        <v>51</v>
      </c>
      <c r="D1785" s="144">
        <f>ROUND(1/B1761,2)</f>
        <v>0.67</v>
      </c>
      <c r="E1785" s="21">
        <v>45000.0</v>
      </c>
      <c r="F1785" s="33">
        <f>ROUND(IFERROR(D1785*E1785,0),0)</f>
        <v>30150</v>
      </c>
    </row>
    <row r="1786" ht="13.5" customHeight="1">
      <c r="A1786" s="21"/>
      <c r="B1786" s="21"/>
      <c r="C1786" s="21"/>
      <c r="D1786" s="144"/>
      <c r="E1786" s="21"/>
      <c r="F1786" s="33"/>
    </row>
    <row r="1787" ht="13.5" customHeight="1">
      <c r="D1787" s="7"/>
      <c r="E1787" s="14" t="s">
        <v>37</v>
      </c>
      <c r="F1787" s="46">
        <f>SUM(F1785:F1786)</f>
        <v>30150</v>
      </c>
    </row>
    <row r="1788" ht="13.5" customHeight="1">
      <c r="D1788" s="7"/>
      <c r="E1788" s="9"/>
      <c r="F1788" s="9"/>
    </row>
    <row r="1789" ht="13.5" customHeight="1">
      <c r="A1789" s="14" t="s">
        <v>74</v>
      </c>
      <c r="D1789" s="7"/>
      <c r="E1789" s="9"/>
      <c r="F1789" s="9"/>
    </row>
    <row r="1790" ht="13.5" customHeight="1">
      <c r="A1790" s="18"/>
      <c r="B1790" s="18" t="s">
        <v>17</v>
      </c>
      <c r="C1790" s="18" t="s">
        <v>18</v>
      </c>
      <c r="D1790" s="18" t="s">
        <v>19</v>
      </c>
      <c r="E1790" s="18" t="s">
        <v>20</v>
      </c>
      <c r="F1790" s="18" t="s">
        <v>21</v>
      </c>
    </row>
    <row r="1791" ht="13.5" customHeight="1">
      <c r="D1791" s="7"/>
      <c r="E1791" s="14" t="s">
        <v>77</v>
      </c>
      <c r="F1791" s="46">
        <f>F1773+F1781+F1787</f>
        <v>212467</v>
      </c>
    </row>
    <row r="1792" ht="13.5" customHeight="1">
      <c r="D1792" s="7"/>
      <c r="E1792" s="14" t="s">
        <v>6</v>
      </c>
      <c r="F1792" s="46">
        <f>ROUND(F1791*F1762,0)</f>
        <v>31870</v>
      </c>
    </row>
    <row r="1793" ht="13.5" customHeight="1">
      <c r="D1793" s="7"/>
      <c r="E1793" s="14" t="s">
        <v>8</v>
      </c>
      <c r="F1793" s="46">
        <f>ROUND(F1791*F1763,0)</f>
        <v>42493</v>
      </c>
    </row>
    <row r="1794" ht="13.5" customHeight="1">
      <c r="D1794" s="7"/>
      <c r="E1794" s="14" t="s">
        <v>81</v>
      </c>
      <c r="F1794" s="46">
        <f>F1791+F1792+F1793</f>
        <v>286830</v>
      </c>
    </row>
    <row r="1795" ht="13.5" customHeight="1">
      <c r="D1795" s="7"/>
      <c r="E1795" s="14" t="s">
        <v>82</v>
      </c>
      <c r="F1795" s="46">
        <f>ROUND(F1794*F1764,0)</f>
        <v>54498</v>
      </c>
    </row>
    <row r="1796" ht="13.5" customHeight="1">
      <c r="D1796" s="14" t="s">
        <v>425</v>
      </c>
      <c r="E1796" s="18" t="s">
        <v>84</v>
      </c>
      <c r="F1796" s="53">
        <f>F1794+F1795</f>
        <v>341328</v>
      </c>
    </row>
    <row r="1797" ht="13.5" customHeight="1"/>
    <row r="1798" ht="13.5" customHeight="1"/>
    <row r="1799" ht="13.5" customHeight="1"/>
    <row r="1800" ht="13.5" customHeight="1"/>
    <row r="1801" ht="13.5" customHeight="1"/>
    <row r="1802" ht="13.5" customHeight="1"/>
    <row r="1803" ht="13.5" customHeight="1"/>
    <row r="1804" ht="13.5" customHeight="1"/>
    <row r="1805" ht="13.5" customHeight="1">
      <c r="A1805" s="3" t="s">
        <v>1</v>
      </c>
      <c r="B1805" s="5">
        <v>1.5</v>
      </c>
      <c r="C1805" s="3" t="s">
        <v>2</v>
      </c>
      <c r="D1805" s="7"/>
      <c r="E1805" s="3" t="s">
        <v>3</v>
      </c>
      <c r="F1805" s="9"/>
    </row>
    <row r="1806" ht="13.5" customHeight="1">
      <c r="A1806" s="3" t="s">
        <v>4</v>
      </c>
      <c r="B1806" s="5" t="s">
        <v>30</v>
      </c>
      <c r="D1806" s="7"/>
      <c r="E1806" s="3" t="s">
        <v>6</v>
      </c>
      <c r="F1806" s="10">
        <v>0.15</v>
      </c>
    </row>
    <row r="1807" ht="13.5" customHeight="1">
      <c r="D1807" s="7"/>
      <c r="E1807" s="3" t="s">
        <v>8</v>
      </c>
      <c r="F1807" s="10">
        <v>0.2</v>
      </c>
    </row>
    <row r="1808" ht="13.5" customHeight="1">
      <c r="B1808" s="5" t="s">
        <v>499</v>
      </c>
      <c r="D1808" s="7"/>
      <c r="E1808" s="3" t="s">
        <v>10</v>
      </c>
      <c r="F1808" s="10">
        <v>0.19</v>
      </c>
    </row>
    <row r="1809" ht="13.5" customHeight="1">
      <c r="A1809" s="14" t="s">
        <v>11</v>
      </c>
      <c r="D1809" s="7"/>
      <c r="E1809" s="9"/>
      <c r="F1809" s="9"/>
    </row>
    <row r="1810" ht="13.5" customHeight="1">
      <c r="A1810" s="18" t="s">
        <v>15</v>
      </c>
      <c r="B1810" s="18" t="s">
        <v>17</v>
      </c>
      <c r="C1810" s="18" t="s">
        <v>18</v>
      </c>
      <c r="D1810" s="18" t="s">
        <v>19</v>
      </c>
      <c r="E1810" s="18" t="s">
        <v>20</v>
      </c>
      <c r="F1810" s="18" t="s">
        <v>21</v>
      </c>
    </row>
    <row r="1811" ht="13.5" customHeight="1">
      <c r="A1811" s="21" t="s">
        <v>22</v>
      </c>
      <c r="B1811" s="21" t="s">
        <v>481</v>
      </c>
      <c r="C1811" s="21" t="s">
        <v>5</v>
      </c>
      <c r="D1811" s="21">
        <v>1.02</v>
      </c>
      <c r="E1811" s="279">
        <v>65000.0</v>
      </c>
      <c r="F1811" s="33">
        <f t="shared" ref="F1811:F1816" si="91">ROUND(IFERROR(D1811*E1811,0),0)</f>
        <v>66300</v>
      </c>
    </row>
    <row r="1812" ht="13.5" customHeight="1">
      <c r="A1812" s="21" t="s">
        <v>27</v>
      </c>
      <c r="B1812" s="21" t="s">
        <v>482</v>
      </c>
      <c r="C1812" s="21" t="s">
        <v>483</v>
      </c>
      <c r="D1812" s="21">
        <v>1.0</v>
      </c>
      <c r="E1812" s="279">
        <v>10000.0</v>
      </c>
      <c r="F1812" s="33">
        <f t="shared" si="91"/>
        <v>10000</v>
      </c>
    </row>
    <row r="1813" ht="13.5" customHeight="1">
      <c r="A1813" s="21" t="s">
        <v>32</v>
      </c>
      <c r="B1813" s="21" t="s">
        <v>484</v>
      </c>
      <c r="C1813" s="21" t="s">
        <v>171</v>
      </c>
      <c r="D1813" s="21">
        <v>1.84</v>
      </c>
      <c r="E1813" s="279">
        <v>8.7</v>
      </c>
      <c r="F1813" s="33">
        <f t="shared" si="91"/>
        <v>16</v>
      </c>
    </row>
    <row r="1814" ht="13.5" customHeight="1">
      <c r="A1814" s="21" t="s">
        <v>99</v>
      </c>
      <c r="B1814" s="21" t="s">
        <v>485</v>
      </c>
      <c r="C1814" s="21" t="s">
        <v>171</v>
      </c>
      <c r="D1814" s="21">
        <v>1.53</v>
      </c>
      <c r="E1814" s="279">
        <v>495.8</v>
      </c>
      <c r="F1814" s="33">
        <f t="shared" si="91"/>
        <v>759</v>
      </c>
    </row>
    <row r="1815" ht="13.5" customHeight="1">
      <c r="A1815" s="21" t="s">
        <v>101</v>
      </c>
      <c r="B1815" s="21" t="s">
        <v>486</v>
      </c>
      <c r="C1815" s="21" t="s">
        <v>171</v>
      </c>
      <c r="D1815" s="21">
        <v>0.61</v>
      </c>
      <c r="E1815" s="279">
        <v>7.8</v>
      </c>
      <c r="F1815" s="33">
        <f t="shared" si="91"/>
        <v>5</v>
      </c>
    </row>
    <row r="1816" ht="13.5" customHeight="1">
      <c r="A1816" s="21" t="s">
        <v>107</v>
      </c>
      <c r="B1816" s="21" t="s">
        <v>487</v>
      </c>
      <c r="C1816" s="21" t="s">
        <v>34</v>
      </c>
      <c r="D1816" s="21">
        <v>1.0</v>
      </c>
      <c r="E1816" s="279">
        <v>1500.0</v>
      </c>
      <c r="F1816" s="33">
        <f t="shared" si="91"/>
        <v>1500</v>
      </c>
    </row>
    <row r="1817" ht="13.5" customHeight="1">
      <c r="D1817" s="7"/>
      <c r="E1817" s="14" t="s">
        <v>37</v>
      </c>
      <c r="F1817" s="46">
        <f>SUM(F1811:F1816)</f>
        <v>78580</v>
      </c>
    </row>
    <row r="1818" ht="13.5" customHeight="1">
      <c r="D1818" s="7"/>
      <c r="E1818" s="9"/>
      <c r="F1818" s="9"/>
    </row>
    <row r="1819" ht="13.5" customHeight="1">
      <c r="A1819" s="14" t="s">
        <v>44</v>
      </c>
      <c r="D1819" s="7"/>
      <c r="E1819" s="9"/>
      <c r="F1819" s="9"/>
    </row>
    <row r="1820" ht="13.5" customHeight="1">
      <c r="A1820" s="18" t="s">
        <v>15</v>
      </c>
      <c r="B1820" s="18" t="s">
        <v>17</v>
      </c>
      <c r="C1820" s="18" t="s">
        <v>18</v>
      </c>
      <c r="D1820" s="18" t="s">
        <v>19</v>
      </c>
      <c r="E1820" s="18" t="s">
        <v>20</v>
      </c>
      <c r="F1820" s="18" t="s">
        <v>21</v>
      </c>
    </row>
    <row r="1821" ht="13.5" customHeight="1">
      <c r="A1821" s="21" t="s">
        <v>22</v>
      </c>
      <c r="B1821" s="21" t="s">
        <v>345</v>
      </c>
      <c r="C1821" s="21" t="s">
        <v>51</v>
      </c>
      <c r="D1821" s="187">
        <f>ROUND(1/B1805,2)</f>
        <v>0.67</v>
      </c>
      <c r="E1821" s="21">
        <v>65000.0</v>
      </c>
      <c r="F1821" s="33">
        <f t="shared" ref="F1821:F1822" si="92">ROUND(IFERROR(D1821*E1821,0),0)</f>
        <v>43550</v>
      </c>
    </row>
    <row r="1822" ht="13.5" customHeight="1">
      <c r="A1822" s="21" t="s">
        <v>27</v>
      </c>
      <c r="B1822" s="21" t="s">
        <v>54</v>
      </c>
      <c r="C1822" s="21" t="s">
        <v>51</v>
      </c>
      <c r="D1822" s="187">
        <f>ROUND(1/B1805,2)</f>
        <v>0.67</v>
      </c>
      <c r="E1822" s="21">
        <v>50000.0</v>
      </c>
      <c r="F1822" s="33">
        <f t="shared" si="92"/>
        <v>33500</v>
      </c>
    </row>
    <row r="1823" ht="13.5" customHeight="1">
      <c r="D1823" s="7"/>
      <c r="E1823" s="14" t="s">
        <v>37</v>
      </c>
      <c r="F1823" s="46">
        <f>SUM(F1821:F1822)</f>
        <v>77050</v>
      </c>
    </row>
    <row r="1824" ht="13.5" customHeight="1">
      <c r="D1824" s="7"/>
      <c r="E1824" s="14" t="s">
        <v>59</v>
      </c>
      <c r="F1824" s="46">
        <f>ROUND(F1823*0.5,0)</f>
        <v>38525</v>
      </c>
    </row>
    <row r="1825" ht="13.5" customHeight="1">
      <c r="D1825" s="7"/>
      <c r="E1825" s="14" t="s">
        <v>60</v>
      </c>
      <c r="F1825" s="46">
        <f>F1823+F1824</f>
        <v>115575</v>
      </c>
    </row>
    <row r="1826" ht="13.5" customHeight="1">
      <c r="D1826" s="7"/>
      <c r="E1826" s="9"/>
      <c r="F1826" s="9"/>
    </row>
    <row r="1827" ht="13.5" customHeight="1">
      <c r="A1827" s="14" t="s">
        <v>62</v>
      </c>
      <c r="D1827" s="7"/>
      <c r="E1827" s="9"/>
      <c r="F1827" s="9"/>
    </row>
    <row r="1828" ht="13.5" customHeight="1">
      <c r="A1828" s="18" t="s">
        <v>15</v>
      </c>
      <c r="B1828" s="18" t="s">
        <v>17</v>
      </c>
      <c r="C1828" s="18" t="s">
        <v>18</v>
      </c>
      <c r="D1828" s="18" t="s">
        <v>19</v>
      </c>
      <c r="E1828" s="18" t="s">
        <v>20</v>
      </c>
      <c r="F1828" s="18" t="s">
        <v>21</v>
      </c>
    </row>
    <row r="1829" ht="13.5" customHeight="1">
      <c r="A1829" s="21" t="s">
        <v>22</v>
      </c>
      <c r="B1829" s="21" t="s">
        <v>394</v>
      </c>
      <c r="C1829" s="21" t="s">
        <v>51</v>
      </c>
      <c r="D1829" s="144">
        <f>ROUND(1/B1805,2)</f>
        <v>0.67</v>
      </c>
      <c r="E1829" s="21">
        <v>45000.0</v>
      </c>
      <c r="F1829" s="33">
        <f>ROUND(IFERROR(D1829*E1829,0),0)</f>
        <v>30150</v>
      </c>
    </row>
    <row r="1830" ht="13.5" customHeight="1">
      <c r="A1830" s="21"/>
      <c r="B1830" s="21"/>
      <c r="C1830" s="21"/>
      <c r="D1830" s="144"/>
      <c r="E1830" s="21"/>
      <c r="F1830" s="33"/>
    </row>
    <row r="1831" ht="13.5" customHeight="1">
      <c r="D1831" s="7"/>
      <c r="E1831" s="14" t="s">
        <v>37</v>
      </c>
      <c r="F1831" s="46">
        <f>SUM(F1829:F1830)</f>
        <v>30150</v>
      </c>
    </row>
    <row r="1832" ht="13.5" customHeight="1">
      <c r="D1832" s="7"/>
      <c r="E1832" s="9"/>
      <c r="F1832" s="9"/>
    </row>
    <row r="1833" ht="13.5" customHeight="1">
      <c r="A1833" s="14" t="s">
        <v>74</v>
      </c>
      <c r="D1833" s="7"/>
      <c r="E1833" s="9"/>
      <c r="F1833" s="9"/>
    </row>
    <row r="1834" ht="13.5" customHeight="1">
      <c r="A1834" s="18"/>
      <c r="B1834" s="18" t="s">
        <v>17</v>
      </c>
      <c r="C1834" s="18" t="s">
        <v>18</v>
      </c>
      <c r="D1834" s="18" t="s">
        <v>19</v>
      </c>
      <c r="E1834" s="18" t="s">
        <v>20</v>
      </c>
      <c r="F1834" s="18" t="s">
        <v>21</v>
      </c>
    </row>
    <row r="1835" ht="13.5" customHeight="1">
      <c r="D1835" s="7"/>
      <c r="E1835" s="14" t="s">
        <v>77</v>
      </c>
      <c r="F1835" s="46">
        <f>F1817+F1825+F1831</f>
        <v>224305</v>
      </c>
    </row>
    <row r="1836" ht="13.5" customHeight="1">
      <c r="D1836" s="7"/>
      <c r="E1836" s="14" t="s">
        <v>6</v>
      </c>
      <c r="F1836" s="46">
        <f>ROUND(F1835*F1806,0)</f>
        <v>33646</v>
      </c>
    </row>
    <row r="1837" ht="13.5" customHeight="1">
      <c r="D1837" s="7"/>
      <c r="E1837" s="14" t="s">
        <v>8</v>
      </c>
      <c r="F1837" s="46">
        <f>ROUND(F1835*F1807,0)</f>
        <v>44861</v>
      </c>
    </row>
    <row r="1838" ht="13.5" customHeight="1">
      <c r="D1838" s="7"/>
      <c r="E1838" s="14" t="s">
        <v>81</v>
      </c>
      <c r="F1838" s="46">
        <f>F1835+F1836+F1837</f>
        <v>302812</v>
      </c>
    </row>
    <row r="1839" ht="13.5" customHeight="1">
      <c r="D1839" s="7"/>
      <c r="E1839" s="14" t="s">
        <v>82</v>
      </c>
      <c r="F1839" s="46">
        <f>ROUND(F1838*F1808,0)</f>
        <v>57534</v>
      </c>
    </row>
    <row r="1840" ht="13.5" customHeight="1">
      <c r="D1840" s="14" t="s">
        <v>425</v>
      </c>
      <c r="E1840" s="18" t="s">
        <v>84</v>
      </c>
      <c r="F1840" s="53">
        <f>F1838+F1839</f>
        <v>360346</v>
      </c>
    </row>
    <row r="1841" ht="13.5" customHeight="1"/>
    <row r="1842" ht="13.5" customHeight="1"/>
    <row r="1843" ht="13.5" customHeight="1"/>
    <row r="1844" ht="13.5" customHeight="1"/>
    <row r="1845" ht="13.5" customHeight="1"/>
    <row r="1846" ht="13.5" customHeight="1"/>
    <row r="1847" ht="13.5" customHeight="1"/>
    <row r="1848" ht="13.5" customHeight="1"/>
    <row r="1849" ht="13.5" customHeight="1">
      <c r="A1849" s="3" t="s">
        <v>1</v>
      </c>
      <c r="B1849" s="5">
        <v>1.5</v>
      </c>
      <c r="C1849" s="3" t="s">
        <v>2</v>
      </c>
      <c r="D1849" s="7"/>
      <c r="E1849" s="3" t="s">
        <v>3</v>
      </c>
      <c r="F1849" s="9"/>
    </row>
    <row r="1850" ht="13.5" customHeight="1">
      <c r="A1850" s="3" t="s">
        <v>4</v>
      </c>
      <c r="B1850" s="5" t="s">
        <v>30</v>
      </c>
      <c r="D1850" s="7"/>
      <c r="E1850" s="3" t="s">
        <v>6</v>
      </c>
      <c r="F1850" s="10">
        <v>0.15</v>
      </c>
    </row>
    <row r="1851" ht="13.5" customHeight="1">
      <c r="D1851" s="7"/>
      <c r="E1851" s="3" t="s">
        <v>8</v>
      </c>
      <c r="F1851" s="10">
        <v>0.2</v>
      </c>
    </row>
    <row r="1852" ht="13.5" customHeight="1">
      <c r="B1852" s="5" t="s">
        <v>500</v>
      </c>
      <c r="D1852" s="7"/>
      <c r="E1852" s="3" t="s">
        <v>10</v>
      </c>
      <c r="F1852" s="10">
        <v>0.19</v>
      </c>
    </row>
    <row r="1853" ht="13.5" customHeight="1">
      <c r="A1853" s="14" t="s">
        <v>11</v>
      </c>
      <c r="D1853" s="7"/>
      <c r="E1853" s="9"/>
      <c r="F1853" s="9"/>
    </row>
    <row r="1854" ht="13.5" customHeight="1">
      <c r="A1854" s="18" t="s">
        <v>15</v>
      </c>
      <c r="B1854" s="18" t="s">
        <v>17</v>
      </c>
      <c r="C1854" s="18" t="s">
        <v>18</v>
      </c>
      <c r="D1854" s="18" t="s">
        <v>19</v>
      </c>
      <c r="E1854" s="18" t="s">
        <v>20</v>
      </c>
      <c r="F1854" s="18" t="s">
        <v>21</v>
      </c>
    </row>
    <row r="1855" ht="13.5" customHeight="1">
      <c r="A1855" s="21" t="s">
        <v>22</v>
      </c>
      <c r="B1855" s="21" t="s">
        <v>481</v>
      </c>
      <c r="C1855" s="21" t="s">
        <v>5</v>
      </c>
      <c r="D1855" s="21">
        <v>1.04</v>
      </c>
      <c r="E1855" s="279">
        <v>65000.0</v>
      </c>
      <c r="F1855" s="33">
        <f t="shared" ref="F1855:F1860" si="93">ROUND(IFERROR(D1855*E1855,0),0)</f>
        <v>67600</v>
      </c>
    </row>
    <row r="1856" ht="13.5" customHeight="1">
      <c r="A1856" s="21" t="s">
        <v>27</v>
      </c>
      <c r="B1856" s="21" t="s">
        <v>482</v>
      </c>
      <c r="C1856" s="21" t="s">
        <v>483</v>
      </c>
      <c r="D1856" s="21">
        <v>1.0</v>
      </c>
      <c r="E1856" s="279">
        <v>10000.0</v>
      </c>
      <c r="F1856" s="33">
        <f t="shared" si="93"/>
        <v>10000</v>
      </c>
    </row>
    <row r="1857" ht="13.5" customHeight="1">
      <c r="A1857" s="21" t="s">
        <v>32</v>
      </c>
      <c r="B1857" s="21" t="s">
        <v>484</v>
      </c>
      <c r="C1857" s="21" t="s">
        <v>171</v>
      </c>
      <c r="D1857" s="21">
        <v>1.87</v>
      </c>
      <c r="E1857" s="279">
        <v>8.7</v>
      </c>
      <c r="F1857" s="33">
        <f t="shared" si="93"/>
        <v>16</v>
      </c>
    </row>
    <row r="1858" ht="13.5" customHeight="1">
      <c r="A1858" s="21" t="s">
        <v>99</v>
      </c>
      <c r="B1858" s="21" t="s">
        <v>485</v>
      </c>
      <c r="C1858" s="21" t="s">
        <v>171</v>
      </c>
      <c r="D1858" s="21">
        <v>1.56</v>
      </c>
      <c r="E1858" s="279">
        <v>495.8</v>
      </c>
      <c r="F1858" s="33">
        <f t="shared" si="93"/>
        <v>773</v>
      </c>
    </row>
    <row r="1859" ht="13.5" customHeight="1">
      <c r="A1859" s="21" t="s">
        <v>101</v>
      </c>
      <c r="B1859" s="21" t="s">
        <v>486</v>
      </c>
      <c r="C1859" s="21" t="s">
        <v>171</v>
      </c>
      <c r="D1859" s="21">
        <v>0.62</v>
      </c>
      <c r="E1859" s="279">
        <v>7.8</v>
      </c>
      <c r="F1859" s="33">
        <f t="shared" si="93"/>
        <v>5</v>
      </c>
    </row>
    <row r="1860" ht="13.5" customHeight="1">
      <c r="A1860" s="21" t="s">
        <v>107</v>
      </c>
      <c r="B1860" s="21" t="s">
        <v>487</v>
      </c>
      <c r="C1860" s="21" t="s">
        <v>34</v>
      </c>
      <c r="D1860" s="21">
        <v>1.0</v>
      </c>
      <c r="E1860" s="279">
        <v>1500.0</v>
      </c>
      <c r="F1860" s="33">
        <f t="shared" si="93"/>
        <v>1500</v>
      </c>
    </row>
    <row r="1861" ht="13.5" customHeight="1">
      <c r="D1861" s="7"/>
      <c r="E1861" s="14" t="s">
        <v>37</v>
      </c>
      <c r="F1861" s="46">
        <f>SUM(F1855:F1860)</f>
        <v>79894</v>
      </c>
    </row>
    <row r="1862" ht="13.5" customHeight="1">
      <c r="D1862" s="7"/>
      <c r="E1862" s="9"/>
      <c r="F1862" s="9"/>
    </row>
    <row r="1863" ht="13.5" customHeight="1">
      <c r="A1863" s="14" t="s">
        <v>44</v>
      </c>
      <c r="D1863" s="7"/>
      <c r="E1863" s="9"/>
      <c r="F1863" s="9"/>
    </row>
    <row r="1864" ht="13.5" customHeight="1">
      <c r="A1864" s="18" t="s">
        <v>15</v>
      </c>
      <c r="B1864" s="18" t="s">
        <v>17</v>
      </c>
      <c r="C1864" s="18" t="s">
        <v>18</v>
      </c>
      <c r="D1864" s="18" t="s">
        <v>19</v>
      </c>
      <c r="E1864" s="18" t="s">
        <v>20</v>
      </c>
      <c r="F1864" s="18" t="s">
        <v>21</v>
      </c>
    </row>
    <row r="1865" ht="13.5" customHeight="1">
      <c r="A1865" s="21" t="s">
        <v>22</v>
      </c>
      <c r="B1865" s="21" t="s">
        <v>345</v>
      </c>
      <c r="C1865" s="21" t="s">
        <v>51</v>
      </c>
      <c r="D1865" s="187">
        <f>ROUND(1/B1849,2)</f>
        <v>0.67</v>
      </c>
      <c r="E1865" s="21">
        <v>65000.0</v>
      </c>
      <c r="F1865" s="33">
        <f t="shared" ref="F1865:F1866" si="94">ROUND(IFERROR(D1865*E1865,0),0)</f>
        <v>43550</v>
      </c>
    </row>
    <row r="1866" ht="13.5" customHeight="1">
      <c r="A1866" s="21" t="s">
        <v>27</v>
      </c>
      <c r="B1866" s="21" t="s">
        <v>54</v>
      </c>
      <c r="C1866" s="21" t="s">
        <v>51</v>
      </c>
      <c r="D1866" s="187">
        <f>ROUND(1/B1849,2)</f>
        <v>0.67</v>
      </c>
      <c r="E1866" s="21">
        <v>50000.0</v>
      </c>
      <c r="F1866" s="33">
        <f t="shared" si="94"/>
        <v>33500</v>
      </c>
    </row>
    <row r="1867" ht="13.5" customHeight="1">
      <c r="D1867" s="7"/>
      <c r="E1867" s="14" t="s">
        <v>37</v>
      </c>
      <c r="F1867" s="46">
        <f>SUM(F1865:F1866)</f>
        <v>77050</v>
      </c>
    </row>
    <row r="1868" ht="13.5" customHeight="1">
      <c r="D1868" s="7"/>
      <c r="E1868" s="14" t="s">
        <v>59</v>
      </c>
      <c r="F1868" s="46">
        <f>ROUND(F1867*0.5,0)</f>
        <v>38525</v>
      </c>
    </row>
    <row r="1869" ht="13.5" customHeight="1">
      <c r="D1869" s="7"/>
      <c r="E1869" s="14" t="s">
        <v>60</v>
      </c>
      <c r="F1869" s="46">
        <f>F1867+F1868</f>
        <v>115575</v>
      </c>
    </row>
    <row r="1870" ht="13.5" customHeight="1">
      <c r="D1870" s="7"/>
      <c r="E1870" s="9"/>
      <c r="F1870" s="9"/>
    </row>
    <row r="1871" ht="13.5" customHeight="1">
      <c r="A1871" s="14" t="s">
        <v>62</v>
      </c>
      <c r="D1871" s="7"/>
      <c r="E1871" s="9"/>
      <c r="F1871" s="9"/>
    </row>
    <row r="1872" ht="13.5" customHeight="1">
      <c r="A1872" s="18" t="s">
        <v>15</v>
      </c>
      <c r="B1872" s="18" t="s">
        <v>17</v>
      </c>
      <c r="C1872" s="18" t="s">
        <v>18</v>
      </c>
      <c r="D1872" s="18" t="s">
        <v>19</v>
      </c>
      <c r="E1872" s="18" t="s">
        <v>20</v>
      </c>
      <c r="F1872" s="18" t="s">
        <v>21</v>
      </c>
      <c r="I1872" s="48"/>
    </row>
    <row r="1873" ht="13.5" customHeight="1">
      <c r="A1873" s="21" t="s">
        <v>22</v>
      </c>
      <c r="B1873" s="21" t="s">
        <v>394</v>
      </c>
      <c r="C1873" s="21" t="s">
        <v>51</v>
      </c>
      <c r="D1873" s="144">
        <f>ROUND(1/B1849,2)</f>
        <v>0.67</v>
      </c>
      <c r="E1873" s="21">
        <v>45000.0</v>
      </c>
      <c r="F1873" s="33">
        <f>ROUND(IFERROR(D1873*E1873,0),0)</f>
        <v>30150</v>
      </c>
    </row>
    <row r="1874" ht="13.5" customHeight="1">
      <c r="A1874" s="21"/>
      <c r="B1874" s="21"/>
      <c r="C1874" s="21"/>
      <c r="D1874" s="144"/>
      <c r="E1874" s="21"/>
      <c r="F1874" s="33"/>
    </row>
    <row r="1875" ht="13.5" customHeight="1">
      <c r="D1875" s="7"/>
      <c r="E1875" s="14" t="s">
        <v>37</v>
      </c>
      <c r="F1875" s="46">
        <f>SUM(F1873:F1874)</f>
        <v>30150</v>
      </c>
    </row>
    <row r="1876" ht="13.5" customHeight="1">
      <c r="D1876" s="7"/>
      <c r="E1876" s="9"/>
      <c r="F1876" s="48"/>
    </row>
    <row r="1877" ht="13.5" customHeight="1">
      <c r="A1877" s="14" t="s">
        <v>74</v>
      </c>
      <c r="D1877" s="7"/>
      <c r="E1877" s="9"/>
      <c r="F1877" s="9"/>
    </row>
    <row r="1878" ht="13.5" customHeight="1">
      <c r="A1878" s="18"/>
      <c r="B1878" s="18" t="s">
        <v>17</v>
      </c>
      <c r="C1878" s="18" t="s">
        <v>18</v>
      </c>
      <c r="D1878" s="18" t="s">
        <v>19</v>
      </c>
      <c r="E1878" s="18" t="s">
        <v>20</v>
      </c>
      <c r="F1878" s="18" t="s">
        <v>21</v>
      </c>
    </row>
    <row r="1879" ht="13.5" customHeight="1">
      <c r="D1879" s="7"/>
      <c r="E1879" s="14" t="s">
        <v>77</v>
      </c>
      <c r="F1879" s="46">
        <f>F1861+F1869+F1875</f>
        <v>225619</v>
      </c>
    </row>
    <row r="1880" ht="13.5" customHeight="1">
      <c r="D1880" s="7"/>
      <c r="E1880" s="14" t="s">
        <v>6</v>
      </c>
      <c r="F1880" s="46">
        <f>ROUND(F1879*F1850,0)</f>
        <v>33843</v>
      </c>
    </row>
    <row r="1881" ht="13.5" customHeight="1">
      <c r="D1881" s="7"/>
      <c r="E1881" s="14" t="s">
        <v>8</v>
      </c>
      <c r="F1881" s="46">
        <f>ROUND(F1879*F1851,0)</f>
        <v>45124</v>
      </c>
    </row>
    <row r="1882" ht="13.5" customHeight="1">
      <c r="D1882" s="7"/>
      <c r="E1882" s="14" t="s">
        <v>81</v>
      </c>
      <c r="F1882" s="46">
        <f>F1879+F1880+F1881</f>
        <v>304586</v>
      </c>
    </row>
    <row r="1883" ht="13.5" customHeight="1">
      <c r="D1883" s="7"/>
      <c r="E1883" s="14" t="s">
        <v>82</v>
      </c>
      <c r="F1883" s="46">
        <f>ROUND(F1882*F1852,0)</f>
        <v>57871</v>
      </c>
    </row>
    <row r="1884" ht="13.5" customHeight="1">
      <c r="D1884" s="14" t="s">
        <v>425</v>
      </c>
      <c r="E1884" s="18" t="s">
        <v>84</v>
      </c>
      <c r="F1884" s="53">
        <f>F1882+F1883</f>
        <v>362457</v>
      </c>
    </row>
    <row r="1885" ht="13.5" customHeight="1"/>
    <row r="1886" ht="13.5" customHeight="1"/>
    <row r="1887" ht="13.5" customHeight="1"/>
    <row r="1888" ht="13.5" customHeight="1"/>
    <row r="1889" ht="13.5" customHeight="1"/>
    <row r="1890" ht="13.5" customHeight="1"/>
    <row r="1891" ht="13.5" customHeight="1"/>
    <row r="1892" ht="13.5" customHeight="1"/>
    <row r="1893" ht="13.5" customHeight="1">
      <c r="A1893" s="3" t="s">
        <v>1</v>
      </c>
      <c r="B1893" s="5">
        <v>1.5</v>
      </c>
      <c r="C1893" s="3" t="s">
        <v>2</v>
      </c>
      <c r="D1893" s="7"/>
      <c r="E1893" s="3" t="s">
        <v>3</v>
      </c>
      <c r="F1893" s="9"/>
    </row>
    <row r="1894" ht="13.5" customHeight="1">
      <c r="A1894" s="3" t="s">
        <v>4</v>
      </c>
      <c r="B1894" s="5" t="s">
        <v>30</v>
      </c>
      <c r="D1894" s="7"/>
      <c r="E1894" s="3" t="s">
        <v>6</v>
      </c>
      <c r="F1894" s="10">
        <v>0.15</v>
      </c>
    </row>
    <row r="1895" ht="13.5" customHeight="1">
      <c r="D1895" s="7"/>
      <c r="E1895" s="3" t="s">
        <v>8</v>
      </c>
      <c r="F1895" s="10">
        <v>0.2</v>
      </c>
    </row>
    <row r="1896" ht="13.5" customHeight="1">
      <c r="B1896" s="5" t="s">
        <v>501</v>
      </c>
      <c r="D1896" s="7"/>
      <c r="E1896" s="3" t="s">
        <v>10</v>
      </c>
      <c r="F1896" s="10">
        <v>0.19</v>
      </c>
    </row>
    <row r="1897" ht="13.5" customHeight="1">
      <c r="A1897" s="14" t="s">
        <v>11</v>
      </c>
      <c r="D1897" s="7"/>
      <c r="E1897" s="9"/>
      <c r="F1897" s="9"/>
    </row>
    <row r="1898" ht="13.5" customHeight="1">
      <c r="A1898" s="18" t="s">
        <v>15</v>
      </c>
      <c r="B1898" s="18" t="s">
        <v>17</v>
      </c>
      <c r="C1898" s="18" t="s">
        <v>18</v>
      </c>
      <c r="D1898" s="18" t="s">
        <v>19</v>
      </c>
      <c r="E1898" s="18" t="s">
        <v>20</v>
      </c>
      <c r="F1898" s="18" t="s">
        <v>21</v>
      </c>
    </row>
    <row r="1899" ht="13.5" customHeight="1">
      <c r="A1899" s="21" t="s">
        <v>22</v>
      </c>
      <c r="B1899" s="21" t="s">
        <v>481</v>
      </c>
      <c r="C1899" s="21" t="s">
        <v>5</v>
      </c>
      <c r="D1899" s="21">
        <v>2.56</v>
      </c>
      <c r="E1899" s="279">
        <v>65000.0</v>
      </c>
      <c r="F1899" s="33">
        <f t="shared" ref="F1899:F1904" si="95">ROUND(IFERROR(D1899*E1899,0),0)</f>
        <v>166400</v>
      </c>
    </row>
    <row r="1900" ht="13.5" customHeight="1">
      <c r="A1900" s="21" t="s">
        <v>27</v>
      </c>
      <c r="B1900" s="21" t="s">
        <v>482</v>
      </c>
      <c r="C1900" s="21" t="s">
        <v>483</v>
      </c>
      <c r="D1900" s="21">
        <v>1.0</v>
      </c>
      <c r="E1900" s="279">
        <v>10000.0</v>
      </c>
      <c r="F1900" s="33">
        <f t="shared" si="95"/>
        <v>10000</v>
      </c>
    </row>
    <row r="1901" ht="13.5" customHeight="1">
      <c r="A1901" s="21" t="s">
        <v>32</v>
      </c>
      <c r="B1901" s="21" t="s">
        <v>484</v>
      </c>
      <c r="C1901" s="21" t="s">
        <v>171</v>
      </c>
      <c r="D1901" s="21">
        <v>4.61</v>
      </c>
      <c r="E1901" s="279">
        <v>8.7</v>
      </c>
      <c r="F1901" s="33">
        <f t="shared" si="95"/>
        <v>40</v>
      </c>
    </row>
    <row r="1902" ht="13.5" customHeight="1">
      <c r="A1902" s="21" t="s">
        <v>99</v>
      </c>
      <c r="B1902" s="21" t="s">
        <v>485</v>
      </c>
      <c r="C1902" s="21" t="s">
        <v>171</v>
      </c>
      <c r="D1902" s="21">
        <v>3.84</v>
      </c>
      <c r="E1902" s="279">
        <v>495.8</v>
      </c>
      <c r="F1902" s="33">
        <f t="shared" si="95"/>
        <v>1904</v>
      </c>
    </row>
    <row r="1903" ht="13.5" customHeight="1">
      <c r="A1903" s="21" t="s">
        <v>101</v>
      </c>
      <c r="B1903" s="21" t="s">
        <v>486</v>
      </c>
      <c r="C1903" s="21" t="s">
        <v>171</v>
      </c>
      <c r="D1903" s="21">
        <v>1.54</v>
      </c>
      <c r="E1903" s="279">
        <v>7.8</v>
      </c>
      <c r="F1903" s="33">
        <f t="shared" si="95"/>
        <v>12</v>
      </c>
    </row>
    <row r="1904" ht="13.5" customHeight="1">
      <c r="A1904" s="21" t="s">
        <v>107</v>
      </c>
      <c r="B1904" s="21" t="s">
        <v>487</v>
      </c>
      <c r="C1904" s="21" t="s">
        <v>34</v>
      </c>
      <c r="D1904" s="21">
        <v>1.0</v>
      </c>
      <c r="E1904" s="279">
        <v>1500.0</v>
      </c>
      <c r="F1904" s="33">
        <f t="shared" si="95"/>
        <v>1500</v>
      </c>
    </row>
    <row r="1905" ht="13.5" customHeight="1">
      <c r="D1905" s="7"/>
      <c r="E1905" s="14" t="s">
        <v>37</v>
      </c>
      <c r="F1905" s="46">
        <f>SUM(F1899:F1904)</f>
        <v>179856</v>
      </c>
    </row>
    <row r="1906" ht="13.5" customHeight="1">
      <c r="D1906" s="7"/>
      <c r="E1906" s="9"/>
      <c r="F1906" s="9"/>
    </row>
    <row r="1907" ht="13.5" customHeight="1">
      <c r="A1907" s="14" t="s">
        <v>44</v>
      </c>
      <c r="D1907" s="7"/>
      <c r="E1907" s="9"/>
      <c r="F1907" s="9"/>
    </row>
    <row r="1908" ht="13.5" customHeight="1">
      <c r="A1908" s="18" t="s">
        <v>15</v>
      </c>
      <c r="B1908" s="18" t="s">
        <v>17</v>
      </c>
      <c r="C1908" s="18" t="s">
        <v>18</v>
      </c>
      <c r="D1908" s="18" t="s">
        <v>19</v>
      </c>
      <c r="E1908" s="18" t="s">
        <v>20</v>
      </c>
      <c r="F1908" s="18" t="s">
        <v>21</v>
      </c>
    </row>
    <row r="1909" ht="13.5" customHeight="1">
      <c r="A1909" s="21" t="s">
        <v>22</v>
      </c>
      <c r="B1909" s="21" t="s">
        <v>345</v>
      </c>
      <c r="C1909" s="21" t="s">
        <v>51</v>
      </c>
      <c r="D1909" s="187">
        <f>ROUND(1/B1893,2)</f>
        <v>0.67</v>
      </c>
      <c r="E1909" s="21">
        <v>65000.0</v>
      </c>
      <c r="F1909" s="279">
        <f t="shared" ref="F1909:F1910" si="96">ROUND(IFERROR(D1909*E1909,0),0)</f>
        <v>43550</v>
      </c>
    </row>
    <row r="1910" ht="13.5" customHeight="1">
      <c r="A1910" s="21" t="s">
        <v>27</v>
      </c>
      <c r="B1910" s="21" t="s">
        <v>54</v>
      </c>
      <c r="C1910" s="21" t="s">
        <v>51</v>
      </c>
      <c r="D1910" s="187">
        <f>ROUND(1/B1893,2)</f>
        <v>0.67</v>
      </c>
      <c r="E1910" s="21">
        <v>50000.0</v>
      </c>
      <c r="F1910" s="33">
        <f t="shared" si="96"/>
        <v>33500</v>
      </c>
    </row>
    <row r="1911" ht="13.5" customHeight="1">
      <c r="D1911" s="7"/>
      <c r="E1911" s="14" t="s">
        <v>37</v>
      </c>
      <c r="F1911" s="46">
        <f>SUM(F1909:F1910)</f>
        <v>77050</v>
      </c>
    </row>
    <row r="1912" ht="13.5" customHeight="1">
      <c r="D1912" s="7"/>
      <c r="E1912" s="14" t="s">
        <v>59</v>
      </c>
      <c r="F1912" s="46">
        <f>ROUND(F1911*0.5,0)</f>
        <v>38525</v>
      </c>
    </row>
    <row r="1913" ht="13.5" customHeight="1">
      <c r="D1913" s="7"/>
      <c r="E1913" s="14" t="s">
        <v>60</v>
      </c>
      <c r="F1913" s="46">
        <f>F1911+F1912</f>
        <v>115575</v>
      </c>
    </row>
    <row r="1914" ht="13.5" customHeight="1">
      <c r="D1914" s="7"/>
      <c r="E1914" s="9"/>
      <c r="F1914" s="9"/>
    </row>
    <row r="1915" ht="13.5" customHeight="1">
      <c r="A1915" s="14" t="s">
        <v>62</v>
      </c>
      <c r="D1915" s="7"/>
      <c r="E1915" s="9"/>
      <c r="F1915" s="9"/>
    </row>
    <row r="1916" ht="13.5" customHeight="1">
      <c r="A1916" s="18" t="s">
        <v>15</v>
      </c>
      <c r="B1916" s="18" t="s">
        <v>17</v>
      </c>
      <c r="C1916" s="18" t="s">
        <v>18</v>
      </c>
      <c r="D1916" s="18" t="s">
        <v>19</v>
      </c>
      <c r="E1916" s="18" t="s">
        <v>20</v>
      </c>
      <c r="F1916" s="18" t="s">
        <v>21</v>
      </c>
    </row>
    <row r="1917" ht="13.5" customHeight="1">
      <c r="A1917" s="21" t="s">
        <v>22</v>
      </c>
      <c r="B1917" s="21" t="s">
        <v>394</v>
      </c>
      <c r="C1917" s="21" t="s">
        <v>51</v>
      </c>
      <c r="D1917" s="144">
        <f>ROUND(1/B1893,2)</f>
        <v>0.67</v>
      </c>
      <c r="E1917" s="21">
        <v>45000.0</v>
      </c>
      <c r="F1917" s="33">
        <f>ROUND(IFERROR(D1917*E1917,0),0)</f>
        <v>30150</v>
      </c>
    </row>
    <row r="1918" ht="13.5" customHeight="1">
      <c r="A1918" s="21"/>
      <c r="B1918" s="21"/>
      <c r="C1918" s="21"/>
      <c r="D1918" s="144"/>
      <c r="E1918" s="21"/>
      <c r="F1918" s="33"/>
    </row>
    <row r="1919" ht="13.5" customHeight="1">
      <c r="D1919" s="7"/>
      <c r="E1919" s="14" t="s">
        <v>37</v>
      </c>
      <c r="F1919" s="46">
        <f>SUM(F1917:F1918)</f>
        <v>30150</v>
      </c>
    </row>
    <row r="1920" ht="13.5" customHeight="1">
      <c r="D1920" s="7"/>
      <c r="E1920" s="9"/>
      <c r="F1920" s="9"/>
    </row>
    <row r="1921" ht="13.5" customHeight="1">
      <c r="A1921" s="14" t="s">
        <v>74</v>
      </c>
      <c r="D1921" s="7"/>
      <c r="E1921" s="9"/>
      <c r="F1921" s="9"/>
    </row>
    <row r="1922" ht="13.5" customHeight="1">
      <c r="A1922" s="18"/>
      <c r="B1922" s="18" t="s">
        <v>17</v>
      </c>
      <c r="C1922" s="18" t="s">
        <v>18</v>
      </c>
      <c r="D1922" s="18" t="s">
        <v>19</v>
      </c>
      <c r="E1922" s="18" t="s">
        <v>20</v>
      </c>
      <c r="F1922" s="18" t="s">
        <v>21</v>
      </c>
    </row>
    <row r="1923" ht="13.5" customHeight="1">
      <c r="D1923" s="7"/>
      <c r="E1923" s="14" t="s">
        <v>77</v>
      </c>
      <c r="F1923" s="46">
        <f>F1905+F1913+F1919</f>
        <v>325581</v>
      </c>
    </row>
    <row r="1924" ht="13.5" customHeight="1">
      <c r="D1924" s="7"/>
      <c r="E1924" s="14" t="s">
        <v>6</v>
      </c>
      <c r="F1924" s="46">
        <f>ROUND(F1923*F1894,0)</f>
        <v>48837</v>
      </c>
    </row>
    <row r="1925" ht="13.5" customHeight="1">
      <c r="D1925" s="7"/>
      <c r="E1925" s="14" t="s">
        <v>8</v>
      </c>
      <c r="F1925" s="46">
        <f>ROUND(F1923*F1895,0)</f>
        <v>65116</v>
      </c>
    </row>
    <row r="1926" ht="13.5" customHeight="1">
      <c r="D1926" s="7"/>
      <c r="E1926" s="14" t="s">
        <v>81</v>
      </c>
      <c r="F1926" s="46">
        <f>F1923+F1924+F1925</f>
        <v>439534</v>
      </c>
    </row>
    <row r="1927" ht="13.5" customHeight="1">
      <c r="D1927" s="7"/>
      <c r="E1927" s="14" t="s">
        <v>82</v>
      </c>
      <c r="F1927" s="46">
        <f>ROUND(F1926*F1896,0)</f>
        <v>83511</v>
      </c>
    </row>
    <row r="1928" ht="13.5" customHeight="1">
      <c r="D1928" s="14" t="s">
        <v>425</v>
      </c>
      <c r="E1928" s="18" t="s">
        <v>84</v>
      </c>
      <c r="F1928" s="53">
        <f>F1926+F1927</f>
        <v>523045</v>
      </c>
    </row>
    <row r="1929" ht="13.5" customHeight="1"/>
    <row r="1930" ht="13.5" customHeight="1"/>
    <row r="1931" ht="13.5" customHeight="1"/>
    <row r="1932" ht="13.5" customHeight="1"/>
    <row r="1933" ht="13.5" customHeight="1"/>
    <row r="1934" ht="13.5" customHeight="1"/>
    <row r="1935" ht="13.5" customHeight="1"/>
    <row r="1936" ht="13.5" customHeight="1"/>
    <row r="1937" ht="13.5" customHeight="1">
      <c r="A1937" s="3" t="s">
        <v>1</v>
      </c>
      <c r="B1937" s="5">
        <v>1.5</v>
      </c>
      <c r="C1937" s="3" t="s">
        <v>2</v>
      </c>
      <c r="D1937" s="7"/>
      <c r="E1937" s="3" t="s">
        <v>3</v>
      </c>
      <c r="F1937" s="9"/>
    </row>
    <row r="1938" ht="13.5" customHeight="1">
      <c r="A1938" s="3" t="s">
        <v>4</v>
      </c>
      <c r="B1938" s="5" t="s">
        <v>30</v>
      </c>
      <c r="D1938" s="7"/>
      <c r="E1938" s="3" t="s">
        <v>6</v>
      </c>
      <c r="F1938" s="10">
        <v>0.15</v>
      </c>
    </row>
    <row r="1939" ht="13.5" customHeight="1">
      <c r="D1939" s="7"/>
      <c r="E1939" s="3" t="s">
        <v>8</v>
      </c>
      <c r="F1939" s="10">
        <v>0.2</v>
      </c>
    </row>
    <row r="1940" ht="13.5" customHeight="1">
      <c r="B1940" s="5" t="s">
        <v>502</v>
      </c>
      <c r="D1940" s="7"/>
      <c r="E1940" s="3" t="s">
        <v>10</v>
      </c>
      <c r="F1940" s="10">
        <v>0.19</v>
      </c>
    </row>
    <row r="1941" ht="13.5" customHeight="1">
      <c r="A1941" s="14" t="s">
        <v>11</v>
      </c>
      <c r="D1941" s="7"/>
      <c r="E1941" s="9"/>
      <c r="F1941" s="9"/>
    </row>
    <row r="1942" ht="13.5" customHeight="1">
      <c r="A1942" s="18" t="s">
        <v>15</v>
      </c>
      <c r="B1942" s="18" t="s">
        <v>17</v>
      </c>
      <c r="C1942" s="18" t="s">
        <v>18</v>
      </c>
      <c r="D1942" s="18" t="s">
        <v>19</v>
      </c>
      <c r="E1942" s="18" t="s">
        <v>20</v>
      </c>
      <c r="F1942" s="18" t="s">
        <v>21</v>
      </c>
    </row>
    <row r="1943" ht="13.5" customHeight="1">
      <c r="A1943" s="21" t="s">
        <v>22</v>
      </c>
      <c r="B1943" s="21" t="s">
        <v>481</v>
      </c>
      <c r="C1943" s="21" t="s">
        <v>5</v>
      </c>
      <c r="D1943" s="21">
        <f>+ROUND(8.775,2)</f>
        <v>8.78</v>
      </c>
      <c r="E1943" s="279">
        <v>65000.0</v>
      </c>
      <c r="F1943" s="33">
        <f t="shared" ref="F1943:F1948" si="97">ROUND(IFERROR(D1943*E1943,0),0)</f>
        <v>570700</v>
      </c>
    </row>
    <row r="1944" ht="13.5" customHeight="1">
      <c r="A1944" s="21" t="s">
        <v>27</v>
      </c>
      <c r="B1944" s="21" t="s">
        <v>482</v>
      </c>
      <c r="C1944" s="21" t="s">
        <v>483</v>
      </c>
      <c r="D1944" s="21">
        <v>1.0</v>
      </c>
      <c r="E1944" s="279">
        <v>10000.0</v>
      </c>
      <c r="F1944" s="33">
        <f t="shared" si="97"/>
        <v>10000</v>
      </c>
    </row>
    <row r="1945" ht="13.5" customHeight="1">
      <c r="A1945" s="21" t="s">
        <v>32</v>
      </c>
      <c r="B1945" s="21" t="s">
        <v>484</v>
      </c>
      <c r="C1945" s="21" t="s">
        <v>171</v>
      </c>
      <c r="D1945" s="21">
        <v>15.8</v>
      </c>
      <c r="E1945" s="279">
        <v>8.7</v>
      </c>
      <c r="F1945" s="33">
        <f t="shared" si="97"/>
        <v>137</v>
      </c>
    </row>
    <row r="1946" ht="13.5" customHeight="1">
      <c r="A1946" s="21" t="s">
        <v>99</v>
      </c>
      <c r="B1946" s="21" t="s">
        <v>485</v>
      </c>
      <c r="C1946" s="21" t="s">
        <v>171</v>
      </c>
      <c r="D1946" s="21">
        <v>13.16</v>
      </c>
      <c r="E1946" s="279">
        <v>495.8</v>
      </c>
      <c r="F1946" s="33">
        <f t="shared" si="97"/>
        <v>6525</v>
      </c>
    </row>
    <row r="1947" ht="13.5" customHeight="1">
      <c r="A1947" s="21" t="s">
        <v>101</v>
      </c>
      <c r="B1947" s="21" t="s">
        <v>486</v>
      </c>
      <c r="C1947" s="21" t="s">
        <v>171</v>
      </c>
      <c r="D1947" s="21">
        <v>5.26</v>
      </c>
      <c r="E1947" s="279">
        <v>7.8</v>
      </c>
      <c r="F1947" s="33">
        <f t="shared" si="97"/>
        <v>41</v>
      </c>
    </row>
    <row r="1948" ht="13.5" customHeight="1">
      <c r="A1948" s="21" t="s">
        <v>107</v>
      </c>
      <c r="B1948" s="21" t="s">
        <v>487</v>
      </c>
      <c r="C1948" s="21" t="s">
        <v>34</v>
      </c>
      <c r="D1948" s="21">
        <v>1.0</v>
      </c>
      <c r="E1948" s="279">
        <v>1500.0</v>
      </c>
      <c r="F1948" s="33">
        <f t="shared" si="97"/>
        <v>1500</v>
      </c>
    </row>
    <row r="1949" ht="13.5" customHeight="1">
      <c r="D1949" s="7"/>
      <c r="E1949" s="14" t="s">
        <v>37</v>
      </c>
      <c r="F1949" s="46">
        <f>SUM(F1943:F1948)</f>
        <v>588903</v>
      </c>
    </row>
    <row r="1950" ht="13.5" customHeight="1">
      <c r="D1950" s="7"/>
      <c r="E1950" s="9"/>
      <c r="F1950" s="9"/>
    </row>
    <row r="1951" ht="13.5" customHeight="1">
      <c r="A1951" s="14" t="s">
        <v>44</v>
      </c>
      <c r="D1951" s="7"/>
      <c r="E1951" s="9"/>
      <c r="F1951" s="9"/>
    </row>
    <row r="1952" ht="13.5" customHeight="1">
      <c r="A1952" s="18" t="s">
        <v>15</v>
      </c>
      <c r="B1952" s="18" t="s">
        <v>17</v>
      </c>
      <c r="C1952" s="18" t="s">
        <v>18</v>
      </c>
      <c r="D1952" s="18" t="s">
        <v>19</v>
      </c>
      <c r="E1952" s="18" t="s">
        <v>20</v>
      </c>
      <c r="F1952" s="18" t="s">
        <v>21</v>
      </c>
    </row>
    <row r="1953" ht="13.5" customHeight="1">
      <c r="A1953" s="21" t="s">
        <v>22</v>
      </c>
      <c r="B1953" s="21" t="s">
        <v>345</v>
      </c>
      <c r="C1953" s="21" t="s">
        <v>51</v>
      </c>
      <c r="D1953" s="187">
        <f>ROUND(1/B1937,2)</f>
        <v>0.67</v>
      </c>
      <c r="E1953" s="21">
        <v>65000.0</v>
      </c>
      <c r="F1953" s="33">
        <f t="shared" ref="F1953:F1954" si="98">ROUND(IFERROR(D1953*E1953,0),0)</f>
        <v>43550</v>
      </c>
    </row>
    <row r="1954" ht="13.5" customHeight="1">
      <c r="A1954" s="21" t="s">
        <v>27</v>
      </c>
      <c r="B1954" s="21" t="s">
        <v>54</v>
      </c>
      <c r="C1954" s="21" t="s">
        <v>51</v>
      </c>
      <c r="D1954" s="187">
        <f>ROUND(1/B1937,2)</f>
        <v>0.67</v>
      </c>
      <c r="E1954" s="21">
        <v>50000.0</v>
      </c>
      <c r="F1954" s="33">
        <f t="shared" si="98"/>
        <v>33500</v>
      </c>
    </row>
    <row r="1955" ht="13.5" customHeight="1">
      <c r="D1955" s="7"/>
      <c r="E1955" s="14" t="s">
        <v>37</v>
      </c>
      <c r="F1955" s="46">
        <f>SUM(F1953:F1954)</f>
        <v>77050</v>
      </c>
    </row>
    <row r="1956" ht="13.5" customHeight="1">
      <c r="D1956" s="7"/>
      <c r="E1956" s="14" t="s">
        <v>59</v>
      </c>
      <c r="F1956" s="46">
        <f>ROUND(F1955*0.5,0)</f>
        <v>38525</v>
      </c>
    </row>
    <row r="1957" ht="13.5" customHeight="1">
      <c r="D1957" s="7"/>
      <c r="E1957" s="14" t="s">
        <v>60</v>
      </c>
      <c r="F1957" s="46">
        <f>F1955+F1956</f>
        <v>115575</v>
      </c>
    </row>
    <row r="1958" ht="13.5" customHeight="1">
      <c r="D1958" s="7"/>
      <c r="E1958" s="9"/>
      <c r="F1958" s="9"/>
    </row>
    <row r="1959" ht="13.5" customHeight="1">
      <c r="A1959" s="14" t="s">
        <v>62</v>
      </c>
      <c r="D1959" s="7"/>
      <c r="E1959" s="9"/>
      <c r="F1959" s="9"/>
    </row>
    <row r="1960" ht="13.5" customHeight="1">
      <c r="A1960" s="18" t="s">
        <v>15</v>
      </c>
      <c r="B1960" s="18" t="s">
        <v>17</v>
      </c>
      <c r="C1960" s="18" t="s">
        <v>18</v>
      </c>
      <c r="D1960" s="18" t="s">
        <v>19</v>
      </c>
      <c r="E1960" s="18" t="s">
        <v>20</v>
      </c>
      <c r="F1960" s="18" t="s">
        <v>21</v>
      </c>
    </row>
    <row r="1961" ht="13.5" customHeight="1">
      <c r="A1961" s="21" t="s">
        <v>22</v>
      </c>
      <c r="B1961" s="21" t="s">
        <v>394</v>
      </c>
      <c r="C1961" s="21" t="s">
        <v>51</v>
      </c>
      <c r="D1961" s="144">
        <f>ROUND(1/B1937,2)</f>
        <v>0.67</v>
      </c>
      <c r="E1961" s="21">
        <v>45000.0</v>
      </c>
      <c r="F1961" s="33">
        <f>ROUND(IFERROR(D1961*E1961,0),0)</f>
        <v>30150</v>
      </c>
    </row>
    <row r="1962" ht="13.5" customHeight="1">
      <c r="A1962" s="21"/>
      <c r="B1962" s="21"/>
      <c r="C1962" s="21"/>
      <c r="D1962" s="144"/>
      <c r="E1962" s="21"/>
      <c r="F1962" s="33"/>
    </row>
    <row r="1963" ht="13.5" customHeight="1">
      <c r="D1963" s="7"/>
      <c r="E1963" s="14" t="s">
        <v>37</v>
      </c>
      <c r="F1963" s="46">
        <f>SUM(F1961:F1962)</f>
        <v>30150</v>
      </c>
    </row>
    <row r="1964" ht="13.5" customHeight="1">
      <c r="D1964" s="7"/>
      <c r="E1964" s="9"/>
      <c r="F1964" s="9"/>
    </row>
    <row r="1965" ht="13.5" customHeight="1">
      <c r="A1965" s="14" t="s">
        <v>74</v>
      </c>
      <c r="D1965" s="7"/>
      <c r="E1965" s="9"/>
      <c r="F1965" s="9"/>
    </row>
    <row r="1966" ht="13.5" customHeight="1">
      <c r="A1966" s="18"/>
      <c r="B1966" s="18" t="s">
        <v>17</v>
      </c>
      <c r="C1966" s="18" t="s">
        <v>18</v>
      </c>
      <c r="D1966" s="18" t="s">
        <v>19</v>
      </c>
      <c r="E1966" s="18" t="s">
        <v>20</v>
      </c>
      <c r="F1966" s="18" t="s">
        <v>21</v>
      </c>
    </row>
    <row r="1967" ht="13.5" customHeight="1">
      <c r="D1967" s="7"/>
      <c r="E1967" s="14" t="s">
        <v>77</v>
      </c>
      <c r="F1967" s="46">
        <f>F1949+F1957+F1963</f>
        <v>734628</v>
      </c>
    </row>
    <row r="1968" ht="13.5" customHeight="1">
      <c r="D1968" s="7"/>
      <c r="E1968" s="14" t="s">
        <v>6</v>
      </c>
      <c r="F1968" s="46">
        <f>ROUND(F1967*F1938,0)</f>
        <v>110194</v>
      </c>
    </row>
    <row r="1969" ht="13.5" customHeight="1">
      <c r="D1969" s="7"/>
      <c r="E1969" s="14" t="s">
        <v>8</v>
      </c>
      <c r="F1969" s="46">
        <f>ROUND(F1967*F1939,0)</f>
        <v>146926</v>
      </c>
    </row>
    <row r="1970" ht="13.5" customHeight="1">
      <c r="D1970" s="7"/>
      <c r="E1970" s="14" t="s">
        <v>81</v>
      </c>
      <c r="F1970" s="46">
        <f>F1967+F1968+F1969</f>
        <v>991748</v>
      </c>
    </row>
    <row r="1971" ht="13.5" customHeight="1">
      <c r="D1971" s="7"/>
      <c r="E1971" s="14" t="s">
        <v>82</v>
      </c>
      <c r="F1971" s="46">
        <f>ROUND(F1970*F1940,0)</f>
        <v>188432</v>
      </c>
    </row>
    <row r="1972" ht="13.5" customHeight="1">
      <c r="D1972" s="14" t="s">
        <v>425</v>
      </c>
      <c r="E1972" s="18" t="s">
        <v>84</v>
      </c>
      <c r="F1972" s="53">
        <f>F1970+F1971</f>
        <v>1180180</v>
      </c>
    </row>
    <row r="1973" ht="13.5" customHeight="1"/>
    <row r="1974" ht="13.5" customHeight="1"/>
    <row r="1975" ht="13.5" customHeight="1"/>
    <row r="1976" ht="13.5" customHeight="1"/>
    <row r="1977" ht="13.5" customHeight="1"/>
    <row r="1978" ht="13.5" customHeight="1"/>
    <row r="1979" ht="13.5" customHeight="1"/>
    <row r="1980" ht="13.5" customHeight="1"/>
    <row r="1981" ht="13.5" customHeight="1">
      <c r="A1981" s="3" t="s">
        <v>1</v>
      </c>
      <c r="B1981" s="5">
        <v>1.5</v>
      </c>
      <c r="C1981" s="3" t="s">
        <v>2</v>
      </c>
      <c r="D1981" s="7"/>
      <c r="E1981" s="3" t="s">
        <v>3</v>
      </c>
      <c r="F1981" s="9"/>
    </row>
    <row r="1982" ht="13.5" customHeight="1">
      <c r="A1982" s="3" t="s">
        <v>4</v>
      </c>
      <c r="B1982" s="5" t="s">
        <v>30</v>
      </c>
      <c r="D1982" s="7"/>
      <c r="E1982" s="3" t="s">
        <v>6</v>
      </c>
      <c r="F1982" s="10">
        <v>0.15</v>
      </c>
    </row>
    <row r="1983" ht="13.5" customHeight="1">
      <c r="D1983" s="7"/>
      <c r="E1983" s="3" t="s">
        <v>8</v>
      </c>
      <c r="F1983" s="10">
        <v>0.2</v>
      </c>
    </row>
    <row r="1984" ht="13.5" customHeight="1">
      <c r="B1984" s="5" t="s">
        <v>503</v>
      </c>
      <c r="D1984" s="7"/>
      <c r="E1984" s="3" t="s">
        <v>10</v>
      </c>
      <c r="F1984" s="10">
        <v>0.19</v>
      </c>
    </row>
    <row r="1985" ht="13.5" customHeight="1">
      <c r="A1985" s="14" t="s">
        <v>11</v>
      </c>
      <c r="D1985" s="7"/>
      <c r="E1985" s="9"/>
      <c r="F1985" s="9"/>
    </row>
    <row r="1986" ht="13.5" customHeight="1">
      <c r="A1986" s="18" t="s">
        <v>15</v>
      </c>
      <c r="B1986" s="18" t="s">
        <v>17</v>
      </c>
      <c r="C1986" s="18" t="s">
        <v>18</v>
      </c>
      <c r="D1986" s="18" t="s">
        <v>19</v>
      </c>
      <c r="E1986" s="18" t="s">
        <v>20</v>
      </c>
      <c r="F1986" s="18" t="s">
        <v>21</v>
      </c>
    </row>
    <row r="1987" ht="13.5" customHeight="1">
      <c r="A1987" s="21" t="s">
        <v>22</v>
      </c>
      <c r="B1987" s="21" t="s">
        <v>481</v>
      </c>
      <c r="C1987" s="21" t="s">
        <v>5</v>
      </c>
      <c r="D1987" s="21">
        <v>0.85</v>
      </c>
      <c r="E1987" s="279">
        <v>65000.0</v>
      </c>
      <c r="F1987" s="33">
        <f t="shared" ref="F1987:F1992" si="99">ROUND(IFERROR(D1987*E1987,0),0)</f>
        <v>55250</v>
      </c>
    </row>
    <row r="1988" ht="13.5" customHeight="1">
      <c r="A1988" s="21" t="s">
        <v>27</v>
      </c>
      <c r="B1988" s="21" t="s">
        <v>482</v>
      </c>
      <c r="C1988" s="21" t="s">
        <v>483</v>
      </c>
      <c r="D1988" s="21">
        <v>0.0</v>
      </c>
      <c r="E1988" s="279">
        <v>10000.0</v>
      </c>
      <c r="F1988" s="33">
        <f t="shared" si="99"/>
        <v>0</v>
      </c>
    </row>
    <row r="1989" ht="13.5" customHeight="1">
      <c r="A1989" s="21" t="s">
        <v>32</v>
      </c>
      <c r="B1989" s="21" t="s">
        <v>484</v>
      </c>
      <c r="C1989" s="21" t="s">
        <v>171</v>
      </c>
      <c r="D1989" s="21">
        <v>1.53</v>
      </c>
      <c r="E1989" s="279">
        <v>8.7</v>
      </c>
      <c r="F1989" s="33">
        <f t="shared" si="99"/>
        <v>13</v>
      </c>
    </row>
    <row r="1990" ht="13.5" customHeight="1">
      <c r="A1990" s="21" t="s">
        <v>99</v>
      </c>
      <c r="B1990" s="21" t="s">
        <v>485</v>
      </c>
      <c r="C1990" s="21" t="s">
        <v>171</v>
      </c>
      <c r="D1990" s="21">
        <v>1.27</v>
      </c>
      <c r="E1990" s="279">
        <v>495.8</v>
      </c>
      <c r="F1990" s="33">
        <f t="shared" si="99"/>
        <v>630</v>
      </c>
    </row>
    <row r="1991" ht="13.5" customHeight="1">
      <c r="A1991" s="21" t="s">
        <v>101</v>
      </c>
      <c r="B1991" s="21" t="s">
        <v>486</v>
      </c>
      <c r="C1991" s="21" t="s">
        <v>171</v>
      </c>
      <c r="D1991" s="21">
        <v>0.51</v>
      </c>
      <c r="E1991" s="279">
        <v>7.8</v>
      </c>
      <c r="F1991" s="33">
        <f t="shared" si="99"/>
        <v>4</v>
      </c>
    </row>
    <row r="1992" ht="13.5" customHeight="1">
      <c r="A1992" s="21" t="s">
        <v>107</v>
      </c>
      <c r="B1992" s="21" t="s">
        <v>487</v>
      </c>
      <c r="C1992" s="21" t="s">
        <v>34</v>
      </c>
      <c r="D1992" s="21">
        <v>1.0</v>
      </c>
      <c r="E1992" s="279">
        <v>1500.0</v>
      </c>
      <c r="F1992" s="33">
        <f t="shared" si="99"/>
        <v>1500</v>
      </c>
    </row>
    <row r="1993" ht="13.5" customHeight="1">
      <c r="D1993" s="7"/>
      <c r="E1993" s="14" t="s">
        <v>37</v>
      </c>
      <c r="F1993" s="46">
        <f>SUM(F1987:F1992)</f>
        <v>57397</v>
      </c>
    </row>
    <row r="1994" ht="13.5" customHeight="1">
      <c r="D1994" s="7"/>
      <c r="E1994" s="9"/>
      <c r="F1994" s="9"/>
    </row>
    <row r="1995" ht="13.5" customHeight="1">
      <c r="A1995" s="14" t="s">
        <v>44</v>
      </c>
      <c r="D1995" s="7"/>
      <c r="E1995" s="9"/>
      <c r="F1995" s="9"/>
    </row>
    <row r="1996" ht="13.5" customHeight="1">
      <c r="A1996" s="18" t="s">
        <v>15</v>
      </c>
      <c r="B1996" s="18" t="s">
        <v>17</v>
      </c>
      <c r="C1996" s="18" t="s">
        <v>18</v>
      </c>
      <c r="D1996" s="18" t="s">
        <v>19</v>
      </c>
      <c r="E1996" s="18" t="s">
        <v>20</v>
      </c>
      <c r="F1996" s="18" t="s">
        <v>21</v>
      </c>
    </row>
    <row r="1997" ht="13.5" customHeight="1">
      <c r="A1997" s="21" t="s">
        <v>22</v>
      </c>
      <c r="B1997" s="21" t="s">
        <v>345</v>
      </c>
      <c r="C1997" s="21" t="s">
        <v>51</v>
      </c>
      <c r="D1997" s="187">
        <f>ROUND(1/B1981,2)</f>
        <v>0.67</v>
      </c>
      <c r="E1997" s="21">
        <v>65000.0</v>
      </c>
      <c r="F1997" s="33">
        <f t="shared" ref="F1997:F1998" si="100">ROUND(IFERROR(D1997*E1997,0),0)</f>
        <v>43550</v>
      </c>
    </row>
    <row r="1998" ht="13.5" customHeight="1">
      <c r="A1998" s="21" t="s">
        <v>27</v>
      </c>
      <c r="B1998" s="21" t="s">
        <v>54</v>
      </c>
      <c r="C1998" s="21" t="s">
        <v>51</v>
      </c>
      <c r="D1998" s="187">
        <f>ROUND(1/B1981,2)</f>
        <v>0.67</v>
      </c>
      <c r="E1998" s="21">
        <v>50000.0</v>
      </c>
      <c r="F1998" s="33">
        <f t="shared" si="100"/>
        <v>33500</v>
      </c>
    </row>
    <row r="1999" ht="13.5" customHeight="1">
      <c r="D1999" s="7"/>
      <c r="E1999" s="14" t="s">
        <v>37</v>
      </c>
      <c r="F1999" s="46">
        <f>SUM(F1997:F1998)</f>
        <v>77050</v>
      </c>
    </row>
    <row r="2000" ht="13.5" customHeight="1">
      <c r="D2000" s="7"/>
      <c r="E2000" s="14" t="s">
        <v>59</v>
      </c>
      <c r="F2000" s="46">
        <f>ROUND(F1999*0.5,0)</f>
        <v>38525</v>
      </c>
    </row>
    <row r="2001" ht="13.5" customHeight="1">
      <c r="D2001" s="7"/>
      <c r="E2001" s="14" t="s">
        <v>60</v>
      </c>
      <c r="F2001" s="46">
        <f>F1999+F2000</f>
        <v>115575</v>
      </c>
    </row>
    <row r="2002" ht="13.5" customHeight="1">
      <c r="D2002" s="7"/>
      <c r="E2002" s="9"/>
      <c r="F2002" s="9"/>
    </row>
    <row r="2003" ht="13.5" customHeight="1">
      <c r="A2003" s="14" t="s">
        <v>62</v>
      </c>
      <c r="D2003" s="7"/>
      <c r="E2003" s="9"/>
      <c r="F2003" s="9"/>
    </row>
    <row r="2004" ht="13.5" customHeight="1">
      <c r="A2004" s="18" t="s">
        <v>15</v>
      </c>
      <c r="B2004" s="18" t="s">
        <v>17</v>
      </c>
      <c r="C2004" s="18" t="s">
        <v>18</v>
      </c>
      <c r="D2004" s="18" t="s">
        <v>19</v>
      </c>
      <c r="E2004" s="18" t="s">
        <v>20</v>
      </c>
      <c r="F2004" s="18" t="s">
        <v>21</v>
      </c>
    </row>
    <row r="2005" ht="13.5" customHeight="1">
      <c r="A2005" s="21" t="s">
        <v>22</v>
      </c>
      <c r="B2005" s="21" t="s">
        <v>394</v>
      </c>
      <c r="C2005" s="21" t="s">
        <v>51</v>
      </c>
      <c r="D2005" s="144">
        <f>ROUND(1/B1981,2)</f>
        <v>0.67</v>
      </c>
      <c r="E2005" s="21">
        <v>45000.0</v>
      </c>
      <c r="F2005" s="33">
        <f>ROUND(IFERROR(D2005*E2005,0),0)</f>
        <v>30150</v>
      </c>
    </row>
    <row r="2006" ht="13.5" customHeight="1">
      <c r="A2006" s="21"/>
      <c r="B2006" s="21"/>
      <c r="C2006" s="21"/>
      <c r="D2006" s="144"/>
      <c r="E2006" s="21"/>
      <c r="F2006" s="33"/>
    </row>
    <row r="2007" ht="13.5" customHeight="1">
      <c r="D2007" s="7"/>
      <c r="E2007" s="14" t="s">
        <v>37</v>
      </c>
      <c r="F2007" s="46">
        <f>SUM(F2005:F2006)</f>
        <v>30150</v>
      </c>
    </row>
    <row r="2008" ht="13.5" customHeight="1">
      <c r="D2008" s="7"/>
      <c r="E2008" s="9"/>
      <c r="F2008" s="9"/>
    </row>
    <row r="2009" ht="13.5" customHeight="1">
      <c r="A2009" s="14" t="s">
        <v>74</v>
      </c>
      <c r="D2009" s="7"/>
      <c r="E2009" s="9"/>
      <c r="F2009" s="9"/>
    </row>
    <row r="2010" ht="13.5" customHeight="1">
      <c r="A2010" s="18"/>
      <c r="B2010" s="18" t="s">
        <v>17</v>
      </c>
      <c r="C2010" s="18" t="s">
        <v>18</v>
      </c>
      <c r="D2010" s="18" t="s">
        <v>19</v>
      </c>
      <c r="E2010" s="18" t="s">
        <v>20</v>
      </c>
      <c r="F2010" s="18" t="s">
        <v>21</v>
      </c>
    </row>
    <row r="2011" ht="13.5" customHeight="1">
      <c r="D2011" s="7"/>
      <c r="E2011" s="14" t="s">
        <v>77</v>
      </c>
      <c r="F2011" s="46">
        <f>F1993+F2001+F2007</f>
        <v>203122</v>
      </c>
    </row>
    <row r="2012" ht="13.5" customHeight="1">
      <c r="D2012" s="7"/>
      <c r="E2012" s="14" t="s">
        <v>6</v>
      </c>
      <c r="F2012" s="46">
        <f>ROUND(F2011*F1982,0)</f>
        <v>30468</v>
      </c>
    </row>
    <row r="2013" ht="13.5" customHeight="1">
      <c r="D2013" s="7"/>
      <c r="E2013" s="14" t="s">
        <v>8</v>
      </c>
      <c r="F2013" s="46">
        <f>ROUND(F2011*F1983,0)</f>
        <v>40624</v>
      </c>
    </row>
    <row r="2014" ht="13.5" customHeight="1">
      <c r="D2014" s="7"/>
      <c r="E2014" s="14" t="s">
        <v>81</v>
      </c>
      <c r="F2014" s="46">
        <f>F2011+F2012+F2013</f>
        <v>274214</v>
      </c>
    </row>
    <row r="2015" ht="13.5" customHeight="1">
      <c r="D2015" s="7"/>
      <c r="E2015" s="14" t="s">
        <v>82</v>
      </c>
      <c r="F2015" s="46">
        <f>ROUND(F2014*F1984,0)</f>
        <v>52101</v>
      </c>
    </row>
    <row r="2016" ht="13.5" customHeight="1">
      <c r="D2016" s="14" t="s">
        <v>425</v>
      </c>
      <c r="E2016" s="18" t="s">
        <v>84</v>
      </c>
      <c r="F2016" s="53">
        <f>F2014+F2015</f>
        <v>326315</v>
      </c>
    </row>
    <row r="2017" ht="13.5" customHeight="1"/>
    <row r="2018" ht="13.5" customHeight="1"/>
    <row r="2019" ht="13.5" customHeight="1"/>
    <row r="2020" ht="13.5" customHeight="1"/>
    <row r="2021" ht="13.5" customHeight="1"/>
    <row r="2022" ht="13.5" customHeight="1"/>
    <row r="2023" ht="13.5" customHeight="1"/>
    <row r="2024" ht="13.5" customHeight="1"/>
    <row r="2025" ht="13.5" customHeight="1">
      <c r="A2025" s="3" t="s">
        <v>1</v>
      </c>
      <c r="B2025" s="5">
        <v>1.5</v>
      </c>
      <c r="C2025" s="3" t="s">
        <v>2</v>
      </c>
      <c r="D2025" s="7"/>
      <c r="E2025" s="3" t="s">
        <v>3</v>
      </c>
      <c r="F2025" s="9"/>
    </row>
    <row r="2026" ht="13.5" customHeight="1">
      <c r="A2026" s="3" t="s">
        <v>4</v>
      </c>
      <c r="B2026" s="5" t="s">
        <v>30</v>
      </c>
      <c r="D2026" s="7"/>
      <c r="E2026" s="3" t="s">
        <v>6</v>
      </c>
      <c r="F2026" s="10">
        <v>0.15</v>
      </c>
    </row>
    <row r="2027" ht="13.5" customHeight="1">
      <c r="D2027" s="7"/>
      <c r="E2027" s="3" t="s">
        <v>8</v>
      </c>
      <c r="F2027" s="10">
        <v>0.2</v>
      </c>
    </row>
    <row r="2028" ht="13.5" customHeight="1">
      <c r="B2028" s="5" t="s">
        <v>504</v>
      </c>
      <c r="D2028" s="7"/>
      <c r="E2028" s="3" t="s">
        <v>10</v>
      </c>
      <c r="F2028" s="10">
        <v>0.19</v>
      </c>
    </row>
    <row r="2029" ht="13.5" customHeight="1">
      <c r="A2029" s="14" t="s">
        <v>11</v>
      </c>
      <c r="D2029" s="7"/>
      <c r="E2029" s="9"/>
      <c r="F2029" s="9"/>
    </row>
    <row r="2030" ht="13.5" customHeight="1">
      <c r="A2030" s="18" t="s">
        <v>15</v>
      </c>
      <c r="B2030" s="18" t="s">
        <v>17</v>
      </c>
      <c r="C2030" s="18" t="s">
        <v>18</v>
      </c>
      <c r="D2030" s="18" t="s">
        <v>19</v>
      </c>
      <c r="E2030" s="18" t="s">
        <v>20</v>
      </c>
      <c r="F2030" s="18" t="s">
        <v>21</v>
      </c>
    </row>
    <row r="2031" ht="13.5" customHeight="1">
      <c r="A2031" s="21" t="s">
        <v>22</v>
      </c>
      <c r="B2031" s="21" t="s">
        <v>481</v>
      </c>
      <c r="C2031" s="21" t="s">
        <v>5</v>
      </c>
      <c r="D2031" s="21">
        <f>+ROUND(1.425,2)</f>
        <v>1.43</v>
      </c>
      <c r="E2031" s="279">
        <v>65000.0</v>
      </c>
      <c r="F2031" s="33">
        <f t="shared" ref="F2031:F2036" si="101">ROUND(IFERROR(D2031*E2031,0),0)</f>
        <v>92950</v>
      </c>
    </row>
    <row r="2032" ht="13.5" customHeight="1">
      <c r="A2032" s="21" t="s">
        <v>27</v>
      </c>
      <c r="B2032" s="21" t="s">
        <v>482</v>
      </c>
      <c r="C2032" s="21" t="s">
        <v>483</v>
      </c>
      <c r="D2032" s="21">
        <v>0.0</v>
      </c>
      <c r="E2032" s="279">
        <v>10000.0</v>
      </c>
      <c r="F2032" s="33">
        <f t="shared" si="101"/>
        <v>0</v>
      </c>
    </row>
    <row r="2033" ht="13.5" customHeight="1">
      <c r="A2033" s="21" t="s">
        <v>32</v>
      </c>
      <c r="B2033" s="21" t="s">
        <v>484</v>
      </c>
      <c r="C2033" s="21" t="s">
        <v>171</v>
      </c>
      <c r="D2033" s="21">
        <v>2.56</v>
      </c>
      <c r="E2033" s="279">
        <v>8.7</v>
      </c>
      <c r="F2033" s="33">
        <f t="shared" si="101"/>
        <v>22</v>
      </c>
    </row>
    <row r="2034" ht="13.5" customHeight="1">
      <c r="A2034" s="21" t="s">
        <v>99</v>
      </c>
      <c r="B2034" s="21" t="s">
        <v>485</v>
      </c>
      <c r="C2034" s="21" t="s">
        <v>171</v>
      </c>
      <c r="D2034" s="21">
        <v>2.14</v>
      </c>
      <c r="E2034" s="279">
        <v>495.8</v>
      </c>
      <c r="F2034" s="33">
        <f t="shared" si="101"/>
        <v>1061</v>
      </c>
    </row>
    <row r="2035" ht="13.5" customHeight="1">
      <c r="A2035" s="21" t="s">
        <v>101</v>
      </c>
      <c r="B2035" s="21" t="s">
        <v>486</v>
      </c>
      <c r="C2035" s="21" t="s">
        <v>171</v>
      </c>
      <c r="D2035" s="21">
        <v>0.85</v>
      </c>
      <c r="E2035" s="279">
        <v>7.8</v>
      </c>
      <c r="F2035" s="33">
        <f t="shared" si="101"/>
        <v>7</v>
      </c>
    </row>
    <row r="2036" ht="13.5" customHeight="1">
      <c r="A2036" s="21" t="s">
        <v>107</v>
      </c>
      <c r="B2036" s="21" t="s">
        <v>487</v>
      </c>
      <c r="C2036" s="21" t="s">
        <v>34</v>
      </c>
      <c r="D2036" s="21">
        <v>1.0</v>
      </c>
      <c r="E2036" s="279">
        <v>1500.0</v>
      </c>
      <c r="F2036" s="33">
        <f t="shared" si="101"/>
        <v>1500</v>
      </c>
    </row>
    <row r="2037" ht="13.5" customHeight="1">
      <c r="D2037" s="7"/>
      <c r="E2037" s="14" t="s">
        <v>37</v>
      </c>
      <c r="F2037" s="46">
        <f>SUM(F2031:F2036)</f>
        <v>95540</v>
      </c>
    </row>
    <row r="2038" ht="13.5" customHeight="1">
      <c r="D2038" s="7"/>
      <c r="E2038" s="9"/>
      <c r="F2038" s="9"/>
    </row>
    <row r="2039" ht="13.5" customHeight="1">
      <c r="A2039" s="14" t="s">
        <v>44</v>
      </c>
      <c r="D2039" s="7"/>
      <c r="E2039" s="9"/>
      <c r="F2039" s="9"/>
    </row>
    <row r="2040" ht="13.5" customHeight="1">
      <c r="A2040" s="18" t="s">
        <v>15</v>
      </c>
      <c r="B2040" s="18" t="s">
        <v>17</v>
      </c>
      <c r="C2040" s="18" t="s">
        <v>18</v>
      </c>
      <c r="D2040" s="18" t="s">
        <v>19</v>
      </c>
      <c r="E2040" s="18" t="s">
        <v>20</v>
      </c>
      <c r="F2040" s="18" t="s">
        <v>21</v>
      </c>
    </row>
    <row r="2041" ht="13.5" customHeight="1">
      <c r="A2041" s="21" t="s">
        <v>22</v>
      </c>
      <c r="B2041" s="21" t="s">
        <v>345</v>
      </c>
      <c r="C2041" s="21" t="s">
        <v>51</v>
      </c>
      <c r="D2041" s="187">
        <f>ROUND(1/B2025,2)</f>
        <v>0.67</v>
      </c>
      <c r="E2041" s="21">
        <v>65000.0</v>
      </c>
      <c r="F2041" s="33">
        <f t="shared" ref="F2041:F2042" si="102">ROUND(IFERROR(D2041*E2041,0),0)</f>
        <v>43550</v>
      </c>
    </row>
    <row r="2042" ht="13.5" customHeight="1">
      <c r="A2042" s="21" t="s">
        <v>27</v>
      </c>
      <c r="B2042" s="21" t="s">
        <v>54</v>
      </c>
      <c r="C2042" s="21" t="s">
        <v>51</v>
      </c>
      <c r="D2042" s="187">
        <f>ROUND(1/B2025,2)</f>
        <v>0.67</v>
      </c>
      <c r="E2042" s="21">
        <v>50000.0</v>
      </c>
      <c r="F2042" s="33">
        <f t="shared" si="102"/>
        <v>33500</v>
      </c>
    </row>
    <row r="2043" ht="13.5" customHeight="1">
      <c r="D2043" s="7"/>
      <c r="E2043" s="14" t="s">
        <v>37</v>
      </c>
      <c r="F2043" s="46">
        <f>SUM(F2041:F2042)</f>
        <v>77050</v>
      </c>
    </row>
    <row r="2044" ht="13.5" customHeight="1">
      <c r="D2044" s="7"/>
      <c r="E2044" s="14" t="s">
        <v>59</v>
      </c>
      <c r="F2044" s="46">
        <f>ROUND(F2043*0.5,0)</f>
        <v>38525</v>
      </c>
    </row>
    <row r="2045" ht="13.5" customHeight="1">
      <c r="D2045" s="7"/>
      <c r="E2045" s="14" t="s">
        <v>60</v>
      </c>
      <c r="F2045" s="46">
        <f>F2043+F2044</f>
        <v>115575</v>
      </c>
    </row>
    <row r="2046" ht="13.5" customHeight="1">
      <c r="D2046" s="7"/>
      <c r="E2046" s="9"/>
      <c r="F2046" s="9"/>
    </row>
    <row r="2047" ht="13.5" customHeight="1">
      <c r="A2047" s="14" t="s">
        <v>62</v>
      </c>
      <c r="D2047" s="7"/>
      <c r="E2047" s="9"/>
      <c r="F2047" s="9"/>
    </row>
    <row r="2048" ht="13.5" customHeight="1">
      <c r="A2048" s="18" t="s">
        <v>15</v>
      </c>
      <c r="B2048" s="18" t="s">
        <v>17</v>
      </c>
      <c r="C2048" s="18" t="s">
        <v>18</v>
      </c>
      <c r="D2048" s="18" t="s">
        <v>19</v>
      </c>
      <c r="E2048" s="18" t="s">
        <v>20</v>
      </c>
      <c r="F2048" s="18" t="s">
        <v>21</v>
      </c>
    </row>
    <row r="2049" ht="13.5" customHeight="1">
      <c r="A2049" s="21" t="s">
        <v>22</v>
      </c>
      <c r="B2049" s="21" t="s">
        <v>394</v>
      </c>
      <c r="C2049" s="21" t="s">
        <v>51</v>
      </c>
      <c r="D2049" s="144">
        <f>ROUND(1/B2025,2)</f>
        <v>0.67</v>
      </c>
      <c r="E2049" s="21">
        <v>45000.0</v>
      </c>
      <c r="F2049" s="33">
        <f>ROUND(IFERROR(D2049*E2049,0),0)</f>
        <v>30150</v>
      </c>
    </row>
    <row r="2050" ht="13.5" customHeight="1">
      <c r="A2050" s="21"/>
      <c r="B2050" s="21"/>
      <c r="C2050" s="21"/>
      <c r="D2050" s="144"/>
      <c r="E2050" s="21"/>
      <c r="F2050" s="33"/>
    </row>
    <row r="2051" ht="13.5" customHeight="1">
      <c r="D2051" s="7"/>
      <c r="E2051" s="14" t="s">
        <v>37</v>
      </c>
      <c r="F2051" s="46">
        <f>SUM(F2049:F2050)</f>
        <v>30150</v>
      </c>
    </row>
    <row r="2052" ht="13.5" customHeight="1">
      <c r="D2052" s="7"/>
      <c r="E2052" s="9"/>
      <c r="F2052" s="9"/>
    </row>
    <row r="2053" ht="13.5" customHeight="1">
      <c r="A2053" s="14" t="s">
        <v>74</v>
      </c>
      <c r="D2053" s="7"/>
      <c r="E2053" s="9"/>
      <c r="F2053" s="9"/>
    </row>
    <row r="2054" ht="13.5" customHeight="1">
      <c r="A2054" s="18"/>
      <c r="B2054" s="18" t="s">
        <v>17</v>
      </c>
      <c r="C2054" s="18" t="s">
        <v>18</v>
      </c>
      <c r="D2054" s="18" t="s">
        <v>19</v>
      </c>
      <c r="E2054" s="18" t="s">
        <v>20</v>
      </c>
      <c r="F2054" s="18" t="s">
        <v>21</v>
      </c>
    </row>
    <row r="2055" ht="13.5" customHeight="1">
      <c r="D2055" s="7"/>
      <c r="E2055" s="14" t="s">
        <v>77</v>
      </c>
      <c r="F2055" s="46">
        <f>F2037+F2045+F2051</f>
        <v>241265</v>
      </c>
    </row>
    <row r="2056" ht="13.5" customHeight="1">
      <c r="D2056" s="7"/>
      <c r="E2056" s="14" t="s">
        <v>6</v>
      </c>
      <c r="F2056" s="46">
        <f>ROUND(F2055*F2026,0)</f>
        <v>36190</v>
      </c>
    </row>
    <row r="2057" ht="13.5" customHeight="1">
      <c r="D2057" s="7"/>
      <c r="E2057" s="14" t="s">
        <v>8</v>
      </c>
      <c r="F2057" s="46">
        <f>ROUND(F2055*F2027,0)</f>
        <v>48253</v>
      </c>
    </row>
    <row r="2058" ht="13.5" customHeight="1">
      <c r="D2058" s="7"/>
      <c r="E2058" s="14" t="s">
        <v>81</v>
      </c>
      <c r="F2058" s="46">
        <f>F2055+F2056+F2057</f>
        <v>325708</v>
      </c>
    </row>
    <row r="2059" ht="13.5" customHeight="1">
      <c r="D2059" s="7"/>
      <c r="E2059" s="14" t="s">
        <v>82</v>
      </c>
      <c r="F2059" s="46">
        <f>ROUND(F2058*F2028,0)</f>
        <v>61885</v>
      </c>
    </row>
    <row r="2060" ht="13.5" customHeight="1">
      <c r="D2060" s="14" t="s">
        <v>425</v>
      </c>
      <c r="E2060" s="18" t="s">
        <v>84</v>
      </c>
      <c r="F2060" s="53">
        <f>F2058+F2059</f>
        <v>387593</v>
      </c>
    </row>
    <row r="2061" ht="13.5" customHeight="1"/>
    <row r="2062" ht="13.5" customHeight="1"/>
    <row r="2063" ht="13.5" customHeight="1"/>
    <row r="2064" ht="13.5" customHeight="1"/>
    <row r="2065" ht="13.5" customHeight="1"/>
    <row r="2066" ht="13.5" customHeight="1"/>
    <row r="2067" ht="13.5" customHeight="1"/>
    <row r="2068" ht="13.5" customHeight="1"/>
    <row r="2069" ht="13.5" customHeight="1">
      <c r="A2069" s="3" t="s">
        <v>1</v>
      </c>
      <c r="B2069" s="5">
        <v>1.5</v>
      </c>
      <c r="C2069" s="3" t="s">
        <v>2</v>
      </c>
      <c r="D2069" s="7"/>
      <c r="E2069" s="3" t="s">
        <v>3</v>
      </c>
      <c r="F2069" s="9"/>
    </row>
    <row r="2070" ht="13.5" customHeight="1">
      <c r="A2070" s="3" t="s">
        <v>4</v>
      </c>
      <c r="B2070" s="5" t="s">
        <v>30</v>
      </c>
      <c r="D2070" s="7"/>
      <c r="E2070" s="3" t="s">
        <v>6</v>
      </c>
      <c r="F2070" s="10">
        <v>0.15</v>
      </c>
    </row>
    <row r="2071" ht="13.5" customHeight="1">
      <c r="D2071" s="7"/>
      <c r="E2071" s="3" t="s">
        <v>8</v>
      </c>
      <c r="F2071" s="10">
        <v>0.2</v>
      </c>
    </row>
    <row r="2072" ht="13.5" customHeight="1">
      <c r="B2072" s="5" t="s">
        <v>505</v>
      </c>
      <c r="D2072" s="7"/>
      <c r="E2072" s="3" t="s">
        <v>10</v>
      </c>
      <c r="F2072" s="10">
        <v>0.19</v>
      </c>
    </row>
    <row r="2073" ht="13.5" customHeight="1">
      <c r="A2073" s="14" t="s">
        <v>11</v>
      </c>
      <c r="D2073" s="7"/>
      <c r="E2073" s="9"/>
      <c r="F2073" s="9"/>
    </row>
    <row r="2074" ht="13.5" customHeight="1">
      <c r="A2074" s="18" t="s">
        <v>15</v>
      </c>
      <c r="B2074" s="18" t="s">
        <v>17</v>
      </c>
      <c r="C2074" s="18" t="s">
        <v>18</v>
      </c>
      <c r="D2074" s="18" t="s">
        <v>19</v>
      </c>
      <c r="E2074" s="18" t="s">
        <v>20</v>
      </c>
      <c r="F2074" s="18" t="s">
        <v>21</v>
      </c>
    </row>
    <row r="2075" ht="13.5" customHeight="1">
      <c r="A2075" s="21" t="s">
        <v>22</v>
      </c>
      <c r="B2075" s="21" t="s">
        <v>481</v>
      </c>
      <c r="C2075" s="21" t="s">
        <v>5</v>
      </c>
      <c r="D2075" s="21">
        <f>+ROUND(0.875,2)</f>
        <v>0.88</v>
      </c>
      <c r="E2075" s="279">
        <v>65000.0</v>
      </c>
      <c r="F2075" s="33">
        <f t="shared" ref="F2075:F2080" si="103">ROUND(IFERROR(D2075*E2075,0),0)</f>
        <v>57200</v>
      </c>
    </row>
    <row r="2076" ht="13.5" customHeight="1">
      <c r="A2076" s="21" t="s">
        <v>27</v>
      </c>
      <c r="B2076" s="21" t="s">
        <v>482</v>
      </c>
      <c r="C2076" s="21" t="s">
        <v>483</v>
      </c>
      <c r="D2076" s="21">
        <v>0.0</v>
      </c>
      <c r="E2076" s="279">
        <v>10000.0</v>
      </c>
      <c r="F2076" s="33">
        <f t="shared" si="103"/>
        <v>0</v>
      </c>
    </row>
    <row r="2077" ht="13.5" customHeight="1">
      <c r="A2077" s="21" t="s">
        <v>32</v>
      </c>
      <c r="B2077" s="21" t="s">
        <v>484</v>
      </c>
      <c r="C2077" s="21" t="s">
        <v>171</v>
      </c>
      <c r="D2077" s="21">
        <v>1.57</v>
      </c>
      <c r="E2077" s="279">
        <v>8.7</v>
      </c>
      <c r="F2077" s="33">
        <f t="shared" si="103"/>
        <v>14</v>
      </c>
    </row>
    <row r="2078" ht="13.5" customHeight="1">
      <c r="A2078" s="21" t="s">
        <v>99</v>
      </c>
      <c r="B2078" s="21" t="s">
        <v>485</v>
      </c>
      <c r="C2078" s="21" t="s">
        <v>171</v>
      </c>
      <c r="D2078" s="21">
        <v>1.31</v>
      </c>
      <c r="E2078" s="279">
        <v>495.8</v>
      </c>
      <c r="F2078" s="33">
        <f t="shared" si="103"/>
        <v>649</v>
      </c>
    </row>
    <row r="2079" ht="13.5" customHeight="1">
      <c r="A2079" s="21" t="s">
        <v>101</v>
      </c>
      <c r="B2079" s="21" t="s">
        <v>486</v>
      </c>
      <c r="C2079" s="21" t="s">
        <v>171</v>
      </c>
      <c r="D2079" s="21">
        <v>0.53</v>
      </c>
      <c r="E2079" s="279">
        <v>7.8</v>
      </c>
      <c r="F2079" s="33">
        <f t="shared" si="103"/>
        <v>4</v>
      </c>
    </row>
    <row r="2080" ht="13.5" customHeight="1">
      <c r="A2080" s="21" t="s">
        <v>107</v>
      </c>
      <c r="B2080" s="21" t="s">
        <v>487</v>
      </c>
      <c r="C2080" s="21" t="s">
        <v>34</v>
      </c>
      <c r="D2080" s="21">
        <v>1.0</v>
      </c>
      <c r="E2080" s="279">
        <v>1500.0</v>
      </c>
      <c r="F2080" s="33">
        <f t="shared" si="103"/>
        <v>1500</v>
      </c>
    </row>
    <row r="2081" ht="13.5" customHeight="1">
      <c r="D2081" s="7"/>
      <c r="E2081" s="14" t="s">
        <v>37</v>
      </c>
      <c r="F2081" s="46">
        <f>SUM(F2075:F2080)</f>
        <v>59367</v>
      </c>
    </row>
    <row r="2082" ht="13.5" customHeight="1">
      <c r="D2082" s="7"/>
      <c r="E2082" s="9"/>
      <c r="F2082" s="9"/>
    </row>
    <row r="2083" ht="13.5" customHeight="1">
      <c r="A2083" s="14" t="s">
        <v>44</v>
      </c>
      <c r="D2083" s="7"/>
      <c r="E2083" s="9"/>
      <c r="F2083" s="9"/>
    </row>
    <row r="2084" ht="13.5" customHeight="1">
      <c r="A2084" s="18" t="s">
        <v>15</v>
      </c>
      <c r="B2084" s="18" t="s">
        <v>17</v>
      </c>
      <c r="C2084" s="18" t="s">
        <v>18</v>
      </c>
      <c r="D2084" s="18" t="s">
        <v>19</v>
      </c>
      <c r="E2084" s="18" t="s">
        <v>20</v>
      </c>
      <c r="F2084" s="18" t="s">
        <v>21</v>
      </c>
    </row>
    <row r="2085" ht="13.5" customHeight="1">
      <c r="A2085" s="21" t="s">
        <v>22</v>
      </c>
      <c r="B2085" s="21" t="s">
        <v>345</v>
      </c>
      <c r="C2085" s="21" t="s">
        <v>51</v>
      </c>
      <c r="D2085" s="187">
        <f>ROUND(1/B2069,2)</f>
        <v>0.67</v>
      </c>
      <c r="E2085" s="21">
        <v>65000.0</v>
      </c>
      <c r="F2085" s="33">
        <f t="shared" ref="F2085:F2086" si="104">ROUND(IFERROR(D2085*E2085,0),0)</f>
        <v>43550</v>
      </c>
    </row>
    <row r="2086" ht="13.5" customHeight="1">
      <c r="A2086" s="21" t="s">
        <v>27</v>
      </c>
      <c r="B2086" s="21" t="s">
        <v>54</v>
      </c>
      <c r="C2086" s="21" t="s">
        <v>51</v>
      </c>
      <c r="D2086" s="187">
        <f>ROUND(1/B2069,2)</f>
        <v>0.67</v>
      </c>
      <c r="E2086" s="21">
        <v>50000.0</v>
      </c>
      <c r="F2086" s="33">
        <f t="shared" si="104"/>
        <v>33500</v>
      </c>
    </row>
    <row r="2087" ht="13.5" customHeight="1">
      <c r="D2087" s="7"/>
      <c r="E2087" s="14" t="s">
        <v>37</v>
      </c>
      <c r="F2087" s="46">
        <f>SUM(F2085:F2086)</f>
        <v>77050</v>
      </c>
    </row>
    <row r="2088" ht="13.5" customHeight="1">
      <c r="D2088" s="7"/>
      <c r="E2088" s="14" t="s">
        <v>59</v>
      </c>
      <c r="F2088" s="46">
        <f>ROUND(F2087*0.5,0)</f>
        <v>38525</v>
      </c>
    </row>
    <row r="2089" ht="13.5" customHeight="1">
      <c r="D2089" s="7"/>
      <c r="E2089" s="14" t="s">
        <v>60</v>
      </c>
      <c r="F2089" s="46">
        <f>F2087+F2088</f>
        <v>115575</v>
      </c>
    </row>
    <row r="2090" ht="13.5" customHeight="1">
      <c r="D2090" s="7"/>
      <c r="E2090" s="9"/>
      <c r="F2090" s="9"/>
    </row>
    <row r="2091" ht="13.5" customHeight="1">
      <c r="A2091" s="14" t="s">
        <v>62</v>
      </c>
      <c r="D2091" s="7"/>
      <c r="E2091" s="9"/>
      <c r="F2091" s="9"/>
    </row>
    <row r="2092" ht="13.5" customHeight="1">
      <c r="A2092" s="18" t="s">
        <v>15</v>
      </c>
      <c r="B2092" s="18" t="s">
        <v>17</v>
      </c>
      <c r="C2092" s="18" t="s">
        <v>18</v>
      </c>
      <c r="D2092" s="18" t="s">
        <v>19</v>
      </c>
      <c r="E2092" s="18" t="s">
        <v>20</v>
      </c>
      <c r="F2092" s="18" t="s">
        <v>21</v>
      </c>
    </row>
    <row r="2093" ht="13.5" customHeight="1">
      <c r="A2093" s="21" t="s">
        <v>22</v>
      </c>
      <c r="B2093" s="21" t="s">
        <v>394</v>
      </c>
      <c r="C2093" s="21" t="s">
        <v>51</v>
      </c>
      <c r="D2093" s="144">
        <f>ROUND(1/B2069,2)</f>
        <v>0.67</v>
      </c>
      <c r="E2093" s="21">
        <v>45000.0</v>
      </c>
      <c r="F2093" s="33">
        <f>ROUND(IFERROR(D2093*E2093,0),0)</f>
        <v>30150</v>
      </c>
    </row>
    <row r="2094" ht="13.5" customHeight="1">
      <c r="A2094" s="21"/>
      <c r="B2094" s="21"/>
      <c r="C2094" s="21"/>
      <c r="D2094" s="144"/>
      <c r="E2094" s="21"/>
      <c r="F2094" s="33"/>
    </row>
    <row r="2095" ht="13.5" customHeight="1">
      <c r="D2095" s="7"/>
      <c r="E2095" s="14" t="s">
        <v>37</v>
      </c>
      <c r="F2095" s="46">
        <f>SUM(F2093:F2094)</f>
        <v>30150</v>
      </c>
    </row>
    <row r="2096" ht="13.5" customHeight="1">
      <c r="D2096" s="7"/>
      <c r="E2096" s="9"/>
      <c r="F2096" s="9"/>
    </row>
    <row r="2097" ht="13.5" customHeight="1">
      <c r="A2097" s="14" t="s">
        <v>74</v>
      </c>
      <c r="D2097" s="7"/>
      <c r="E2097" s="9"/>
      <c r="F2097" s="9"/>
    </row>
    <row r="2098" ht="13.5" customHeight="1">
      <c r="A2098" s="18"/>
      <c r="B2098" s="18" t="s">
        <v>17</v>
      </c>
      <c r="C2098" s="18" t="s">
        <v>18</v>
      </c>
      <c r="D2098" s="18" t="s">
        <v>19</v>
      </c>
      <c r="E2098" s="18" t="s">
        <v>20</v>
      </c>
      <c r="F2098" s="18" t="s">
        <v>21</v>
      </c>
    </row>
    <row r="2099" ht="13.5" customHeight="1">
      <c r="D2099" s="7"/>
      <c r="E2099" s="14" t="s">
        <v>77</v>
      </c>
      <c r="F2099" s="46">
        <f>F2081+F2089+F2095</f>
        <v>205092</v>
      </c>
    </row>
    <row r="2100" ht="13.5" customHeight="1">
      <c r="D2100" s="7"/>
      <c r="E2100" s="14" t="s">
        <v>6</v>
      </c>
      <c r="F2100" s="46">
        <f>ROUND(F2099*F2070,0)</f>
        <v>30764</v>
      </c>
    </row>
    <row r="2101" ht="13.5" customHeight="1">
      <c r="D2101" s="7"/>
      <c r="E2101" s="14" t="s">
        <v>8</v>
      </c>
      <c r="F2101" s="46">
        <f>ROUND(F2099*F2071,0)</f>
        <v>41018</v>
      </c>
    </row>
    <row r="2102" ht="13.5" customHeight="1">
      <c r="D2102" s="7"/>
      <c r="E2102" s="14" t="s">
        <v>81</v>
      </c>
      <c r="F2102" s="46">
        <f>F2099+F2100+F2101</f>
        <v>276874</v>
      </c>
    </row>
    <row r="2103" ht="13.5" customHeight="1">
      <c r="D2103" s="7"/>
      <c r="E2103" s="14" t="s">
        <v>82</v>
      </c>
      <c r="F2103" s="46">
        <f>ROUND(F2102*F2072,0)</f>
        <v>52606</v>
      </c>
    </row>
    <row r="2104" ht="13.5" customHeight="1">
      <c r="D2104" s="14" t="s">
        <v>425</v>
      </c>
      <c r="E2104" s="18" t="s">
        <v>84</v>
      </c>
      <c r="F2104" s="53">
        <f>F2102+F2103</f>
        <v>329480</v>
      </c>
    </row>
    <row r="2105" ht="13.5" customHeight="1"/>
    <row r="2106" ht="13.5" customHeight="1"/>
    <row r="2107" ht="13.5" customHeight="1"/>
    <row r="2108" ht="13.5" customHeight="1"/>
    <row r="2109" ht="13.5" customHeight="1"/>
    <row r="2110" ht="13.5" customHeight="1"/>
    <row r="2111" ht="13.5" customHeight="1"/>
    <row r="2112" ht="13.5" customHeight="1"/>
    <row r="2113" ht="13.5" customHeight="1">
      <c r="A2113" s="3" t="s">
        <v>1</v>
      </c>
      <c r="B2113" s="5">
        <v>1.5</v>
      </c>
      <c r="C2113" s="3" t="s">
        <v>2</v>
      </c>
      <c r="D2113" s="7"/>
      <c r="E2113" s="3" t="s">
        <v>3</v>
      </c>
      <c r="F2113" s="9"/>
    </row>
    <row r="2114" ht="13.5" customHeight="1">
      <c r="A2114" s="3" t="s">
        <v>4</v>
      </c>
      <c r="B2114" s="5" t="s">
        <v>30</v>
      </c>
      <c r="D2114" s="7"/>
      <c r="E2114" s="3" t="s">
        <v>6</v>
      </c>
      <c r="F2114" s="10">
        <v>0.15</v>
      </c>
    </row>
    <row r="2115" ht="13.5" customHeight="1">
      <c r="D2115" s="7"/>
      <c r="E2115" s="3" t="s">
        <v>8</v>
      </c>
      <c r="F2115" s="10">
        <v>0.2</v>
      </c>
    </row>
    <row r="2116" ht="13.5" customHeight="1">
      <c r="B2116" s="5" t="s">
        <v>506</v>
      </c>
      <c r="D2116" s="7"/>
      <c r="E2116" s="3" t="s">
        <v>10</v>
      </c>
      <c r="F2116" s="10">
        <v>0.19</v>
      </c>
    </row>
    <row r="2117" ht="13.5" customHeight="1">
      <c r="A2117" s="14" t="s">
        <v>11</v>
      </c>
      <c r="D2117" s="7"/>
      <c r="E2117" s="9"/>
      <c r="F2117" s="9"/>
    </row>
    <row r="2118" ht="13.5" customHeight="1">
      <c r="A2118" s="18" t="s">
        <v>15</v>
      </c>
      <c r="B2118" s="18" t="s">
        <v>17</v>
      </c>
      <c r="C2118" s="18" t="s">
        <v>18</v>
      </c>
      <c r="D2118" s="18" t="s">
        <v>19</v>
      </c>
      <c r="E2118" s="18" t="s">
        <v>20</v>
      </c>
      <c r="F2118" s="18" t="s">
        <v>21</v>
      </c>
    </row>
    <row r="2119" ht="13.5" customHeight="1">
      <c r="A2119" s="21" t="s">
        <v>22</v>
      </c>
      <c r="B2119" s="21" t="s">
        <v>481</v>
      </c>
      <c r="C2119" s="21" t="s">
        <v>5</v>
      </c>
      <c r="D2119" s="21">
        <f>+ROUND(1.975,2)</f>
        <v>1.98</v>
      </c>
      <c r="E2119" s="279">
        <v>65000.0</v>
      </c>
      <c r="F2119" s="33">
        <f t="shared" ref="F2119:F2124" si="105">ROUND(IFERROR(D2119*E2119,0),0)</f>
        <v>128700</v>
      </c>
    </row>
    <row r="2120" ht="13.5" customHeight="1">
      <c r="A2120" s="21" t="s">
        <v>27</v>
      </c>
      <c r="B2120" s="21" t="s">
        <v>482</v>
      </c>
      <c r="C2120" s="21" t="s">
        <v>483</v>
      </c>
      <c r="D2120" s="21">
        <v>0.0</v>
      </c>
      <c r="E2120" s="279">
        <v>10000.0</v>
      </c>
      <c r="F2120" s="33">
        <f t="shared" si="105"/>
        <v>0</v>
      </c>
    </row>
    <row r="2121" ht="13.5" customHeight="1">
      <c r="A2121" s="21" t="s">
        <v>32</v>
      </c>
      <c r="B2121" s="21" t="s">
        <v>484</v>
      </c>
      <c r="C2121" s="21" t="s">
        <v>171</v>
      </c>
      <c r="D2121" s="21">
        <v>3.56</v>
      </c>
      <c r="E2121" s="279">
        <v>8.7</v>
      </c>
      <c r="F2121" s="33">
        <f t="shared" si="105"/>
        <v>31</v>
      </c>
    </row>
    <row r="2122" ht="13.5" customHeight="1">
      <c r="A2122" s="21" t="s">
        <v>99</v>
      </c>
      <c r="B2122" s="21" t="s">
        <v>485</v>
      </c>
      <c r="C2122" s="21" t="s">
        <v>171</v>
      </c>
      <c r="D2122" s="21">
        <v>2.96</v>
      </c>
      <c r="E2122" s="279">
        <v>495.8</v>
      </c>
      <c r="F2122" s="33">
        <f t="shared" si="105"/>
        <v>1468</v>
      </c>
    </row>
    <row r="2123" ht="13.5" customHeight="1">
      <c r="A2123" s="21" t="s">
        <v>101</v>
      </c>
      <c r="B2123" s="21" t="s">
        <v>486</v>
      </c>
      <c r="C2123" s="21" t="s">
        <v>171</v>
      </c>
      <c r="D2123" s="21">
        <v>1.19</v>
      </c>
      <c r="E2123" s="279">
        <v>7.8</v>
      </c>
      <c r="F2123" s="33">
        <f t="shared" si="105"/>
        <v>9</v>
      </c>
    </row>
    <row r="2124" ht="13.5" customHeight="1">
      <c r="A2124" s="21" t="s">
        <v>107</v>
      </c>
      <c r="B2124" s="21" t="s">
        <v>487</v>
      </c>
      <c r="C2124" s="21" t="s">
        <v>34</v>
      </c>
      <c r="D2124" s="21">
        <v>1.0</v>
      </c>
      <c r="E2124" s="279">
        <v>1500.0</v>
      </c>
      <c r="F2124" s="33">
        <f t="shared" si="105"/>
        <v>1500</v>
      </c>
    </row>
    <row r="2125" ht="13.5" customHeight="1">
      <c r="D2125" s="7"/>
      <c r="E2125" s="14" t="s">
        <v>37</v>
      </c>
      <c r="F2125" s="46">
        <f>SUM(F2119:F2124)</f>
        <v>131708</v>
      </c>
    </row>
    <row r="2126" ht="13.5" customHeight="1">
      <c r="D2126" s="7"/>
      <c r="E2126" s="9"/>
      <c r="F2126" s="9"/>
    </row>
    <row r="2127" ht="13.5" customHeight="1">
      <c r="A2127" s="14" t="s">
        <v>44</v>
      </c>
      <c r="D2127" s="7"/>
      <c r="E2127" s="9"/>
      <c r="F2127" s="9"/>
    </row>
    <row r="2128" ht="13.5" customHeight="1">
      <c r="A2128" s="18" t="s">
        <v>15</v>
      </c>
      <c r="B2128" s="18" t="s">
        <v>17</v>
      </c>
      <c r="C2128" s="18" t="s">
        <v>18</v>
      </c>
      <c r="D2128" s="18" t="s">
        <v>19</v>
      </c>
      <c r="E2128" s="18" t="s">
        <v>20</v>
      </c>
      <c r="F2128" s="18" t="s">
        <v>21</v>
      </c>
    </row>
    <row r="2129" ht="13.5" customHeight="1">
      <c r="A2129" s="21" t="s">
        <v>22</v>
      </c>
      <c r="B2129" s="21" t="s">
        <v>345</v>
      </c>
      <c r="C2129" s="21" t="s">
        <v>51</v>
      </c>
      <c r="D2129" s="187">
        <f>ROUND(1/B2113,2)</f>
        <v>0.67</v>
      </c>
      <c r="E2129" s="21">
        <v>65000.0</v>
      </c>
      <c r="F2129" s="33">
        <f t="shared" ref="F2129:F2130" si="106">ROUND(IFERROR(D2129*E2129,0),0)</f>
        <v>43550</v>
      </c>
    </row>
    <row r="2130" ht="13.5" customHeight="1">
      <c r="A2130" s="21" t="s">
        <v>27</v>
      </c>
      <c r="B2130" s="21" t="s">
        <v>54</v>
      </c>
      <c r="C2130" s="21" t="s">
        <v>51</v>
      </c>
      <c r="D2130" s="187">
        <f>ROUND(1/B2113,2)</f>
        <v>0.67</v>
      </c>
      <c r="E2130" s="21">
        <v>50000.0</v>
      </c>
      <c r="F2130" s="33">
        <f t="shared" si="106"/>
        <v>33500</v>
      </c>
    </row>
    <row r="2131" ht="13.5" customHeight="1">
      <c r="D2131" s="7"/>
      <c r="E2131" s="14" t="s">
        <v>37</v>
      </c>
      <c r="F2131" s="46">
        <f>SUM(F2129:F2130)</f>
        <v>77050</v>
      </c>
    </row>
    <row r="2132" ht="13.5" customHeight="1">
      <c r="D2132" s="7"/>
      <c r="E2132" s="14" t="s">
        <v>59</v>
      </c>
      <c r="F2132" s="46">
        <f>ROUND(F2131*0.5,0)</f>
        <v>38525</v>
      </c>
    </row>
    <row r="2133" ht="13.5" customHeight="1">
      <c r="D2133" s="7"/>
      <c r="E2133" s="14" t="s">
        <v>60</v>
      </c>
      <c r="F2133" s="46">
        <f>F2131+F2132</f>
        <v>115575</v>
      </c>
    </row>
    <row r="2134" ht="13.5" customHeight="1">
      <c r="D2134" s="7"/>
      <c r="E2134" s="9"/>
      <c r="F2134" s="9"/>
    </row>
    <row r="2135" ht="13.5" customHeight="1">
      <c r="A2135" s="14" t="s">
        <v>62</v>
      </c>
      <c r="D2135" s="7"/>
      <c r="E2135" s="9"/>
      <c r="F2135" s="9"/>
    </row>
    <row r="2136" ht="13.5" customHeight="1">
      <c r="A2136" s="18" t="s">
        <v>15</v>
      </c>
      <c r="B2136" s="18" t="s">
        <v>17</v>
      </c>
      <c r="C2136" s="18" t="s">
        <v>18</v>
      </c>
      <c r="D2136" s="18" t="s">
        <v>19</v>
      </c>
      <c r="E2136" s="18" t="s">
        <v>20</v>
      </c>
      <c r="F2136" s="18" t="s">
        <v>21</v>
      </c>
    </row>
    <row r="2137" ht="13.5" customHeight="1">
      <c r="A2137" s="21" t="s">
        <v>22</v>
      </c>
      <c r="B2137" s="21" t="s">
        <v>394</v>
      </c>
      <c r="C2137" s="21" t="s">
        <v>51</v>
      </c>
      <c r="D2137" s="144">
        <f>ROUND(1/B2113,2)</f>
        <v>0.67</v>
      </c>
      <c r="E2137" s="21">
        <v>45000.0</v>
      </c>
      <c r="F2137" s="33">
        <f>ROUND(IFERROR(D2137*E2137,0),0)</f>
        <v>30150</v>
      </c>
    </row>
    <row r="2138" ht="13.5" customHeight="1">
      <c r="A2138" s="21"/>
      <c r="B2138" s="21"/>
      <c r="C2138" s="21"/>
      <c r="D2138" s="144"/>
      <c r="E2138" s="21"/>
      <c r="F2138" s="33"/>
    </row>
    <row r="2139" ht="13.5" customHeight="1">
      <c r="D2139" s="7"/>
      <c r="E2139" s="14" t="s">
        <v>37</v>
      </c>
      <c r="F2139" s="46">
        <f>SUM(F2137:F2138)</f>
        <v>30150</v>
      </c>
    </row>
    <row r="2140" ht="13.5" customHeight="1">
      <c r="D2140" s="7"/>
      <c r="E2140" s="9"/>
      <c r="F2140" s="48"/>
    </row>
    <row r="2141" ht="13.5" customHeight="1">
      <c r="A2141" s="14" t="s">
        <v>74</v>
      </c>
      <c r="D2141" s="7"/>
      <c r="E2141" s="9"/>
      <c r="F2141" s="9"/>
    </row>
    <row r="2142" ht="13.5" customHeight="1">
      <c r="A2142" s="18"/>
      <c r="B2142" s="18" t="s">
        <v>17</v>
      </c>
      <c r="C2142" s="18" t="s">
        <v>18</v>
      </c>
      <c r="D2142" s="18" t="s">
        <v>19</v>
      </c>
      <c r="E2142" s="18" t="s">
        <v>20</v>
      </c>
      <c r="F2142" s="18" t="s">
        <v>21</v>
      </c>
    </row>
    <row r="2143" ht="13.5" customHeight="1">
      <c r="D2143" s="7"/>
      <c r="E2143" s="14" t="s">
        <v>77</v>
      </c>
      <c r="F2143" s="46">
        <f>F2125+F2133+F2139</f>
        <v>277433</v>
      </c>
    </row>
    <row r="2144" ht="13.5" customHeight="1">
      <c r="D2144" s="7"/>
      <c r="E2144" s="14" t="s">
        <v>6</v>
      </c>
      <c r="F2144" s="46">
        <f>ROUND(F2143*F2114,0)</f>
        <v>41615</v>
      </c>
    </row>
    <row r="2145" ht="13.5" customHeight="1">
      <c r="D2145" s="7"/>
      <c r="E2145" s="14" t="s">
        <v>8</v>
      </c>
      <c r="F2145" s="46">
        <f>ROUND(F2143*F2115,0)</f>
        <v>55487</v>
      </c>
    </row>
    <row r="2146" ht="13.5" customHeight="1">
      <c r="D2146" s="7"/>
      <c r="E2146" s="14" t="s">
        <v>81</v>
      </c>
      <c r="F2146" s="46">
        <f>F2143+F2144+F2145</f>
        <v>374535</v>
      </c>
    </row>
    <row r="2147" ht="13.5" customHeight="1">
      <c r="D2147" s="7"/>
      <c r="E2147" s="14" t="s">
        <v>82</v>
      </c>
      <c r="F2147" s="46">
        <f>ROUND(F2146*F2116,0)</f>
        <v>71162</v>
      </c>
    </row>
    <row r="2148" ht="13.5" customHeight="1">
      <c r="D2148" s="14" t="s">
        <v>425</v>
      </c>
      <c r="E2148" s="18" t="s">
        <v>84</v>
      </c>
      <c r="F2148" s="53">
        <f>F2146+F2147</f>
        <v>445697</v>
      </c>
    </row>
    <row r="2149" ht="13.5" customHeight="1"/>
    <row r="2150" ht="13.5" customHeight="1"/>
    <row r="2151" ht="13.5" customHeight="1"/>
    <row r="2152" ht="13.5" customHeight="1"/>
    <row r="2153" ht="13.5" customHeight="1"/>
    <row r="2154" ht="13.5" customHeight="1"/>
    <row r="2155" ht="13.5" customHeight="1"/>
    <row r="2156" ht="13.5" customHeight="1"/>
    <row r="2157" ht="13.5" customHeight="1">
      <c r="A2157" s="3" t="s">
        <v>1</v>
      </c>
      <c r="B2157" s="5">
        <v>6.0</v>
      </c>
      <c r="C2157" s="3" t="s">
        <v>2</v>
      </c>
      <c r="D2157" s="7"/>
      <c r="E2157" s="3" t="s">
        <v>3</v>
      </c>
      <c r="F2157" s="9"/>
    </row>
    <row r="2158" ht="13.5" customHeight="1">
      <c r="A2158" s="3" t="s">
        <v>4</v>
      </c>
      <c r="B2158" s="5" t="s">
        <v>5</v>
      </c>
      <c r="D2158" s="7"/>
      <c r="E2158" s="3" t="s">
        <v>6</v>
      </c>
      <c r="F2158" s="10">
        <v>0.15</v>
      </c>
    </row>
    <row r="2159" ht="13.5" customHeight="1">
      <c r="D2159" s="7"/>
      <c r="E2159" s="3" t="s">
        <v>8</v>
      </c>
      <c r="F2159" s="10">
        <v>0.2</v>
      </c>
    </row>
    <row r="2160" ht="13.5" customHeight="1">
      <c r="B2160" s="5" t="s">
        <v>507</v>
      </c>
      <c r="D2160" s="7"/>
      <c r="E2160" s="3" t="s">
        <v>10</v>
      </c>
      <c r="F2160" s="10">
        <v>0.19</v>
      </c>
    </row>
    <row r="2161" ht="13.5" customHeight="1">
      <c r="A2161" s="14" t="s">
        <v>11</v>
      </c>
      <c r="D2161" s="7"/>
      <c r="E2161" s="9"/>
      <c r="F2161" s="9"/>
    </row>
    <row r="2162" ht="13.5" customHeight="1">
      <c r="A2162" s="18" t="s">
        <v>15</v>
      </c>
      <c r="B2162" s="18" t="s">
        <v>17</v>
      </c>
      <c r="C2162" s="18" t="s">
        <v>18</v>
      </c>
      <c r="D2162" s="18" t="s">
        <v>19</v>
      </c>
      <c r="E2162" s="18" t="s">
        <v>20</v>
      </c>
      <c r="F2162" s="18" t="s">
        <v>21</v>
      </c>
    </row>
    <row r="2163" ht="13.5" customHeight="1">
      <c r="A2163" s="21" t="s">
        <v>22</v>
      </c>
      <c r="B2163" s="21" t="s">
        <v>508</v>
      </c>
      <c r="C2163" s="21" t="s">
        <v>5</v>
      </c>
      <c r="D2163" s="21">
        <v>1.0</v>
      </c>
      <c r="E2163" s="279">
        <v>861.0</v>
      </c>
      <c r="F2163" s="33">
        <f t="shared" ref="F2163:F2166" si="107">+ROUND(IFERROR(D2163*E2163,0),0)</f>
        <v>861</v>
      </c>
    </row>
    <row r="2164" ht="13.5" customHeight="1">
      <c r="A2164" s="21" t="s">
        <v>27</v>
      </c>
      <c r="B2164" s="21" t="s">
        <v>509</v>
      </c>
      <c r="C2164" s="21" t="s">
        <v>34</v>
      </c>
      <c r="D2164" s="21">
        <v>1.0</v>
      </c>
      <c r="E2164" s="279">
        <v>2500.0</v>
      </c>
      <c r="F2164" s="33">
        <f t="shared" si="107"/>
        <v>2500</v>
      </c>
    </row>
    <row r="2165" ht="13.5" customHeight="1">
      <c r="A2165" s="21" t="s">
        <v>32</v>
      </c>
      <c r="B2165" s="21" t="s">
        <v>510</v>
      </c>
      <c r="C2165" s="21" t="s">
        <v>483</v>
      </c>
      <c r="D2165" s="21">
        <v>0.2</v>
      </c>
      <c r="E2165" s="279">
        <v>6000.0</v>
      </c>
      <c r="F2165" s="33">
        <f t="shared" si="107"/>
        <v>1200</v>
      </c>
    </row>
    <row r="2166" ht="13.5" customHeight="1">
      <c r="A2166" s="21" t="s">
        <v>99</v>
      </c>
      <c r="B2166" s="21" t="s">
        <v>511</v>
      </c>
      <c r="C2166" s="21" t="s">
        <v>34</v>
      </c>
      <c r="D2166" s="21">
        <v>1.0</v>
      </c>
      <c r="E2166" s="279">
        <v>1000.0</v>
      </c>
      <c r="F2166" s="33">
        <f t="shared" si="107"/>
        <v>1000</v>
      </c>
    </row>
    <row r="2167" ht="13.5" customHeight="1">
      <c r="A2167" s="21"/>
      <c r="B2167" s="21"/>
      <c r="C2167" s="21"/>
      <c r="D2167" s="21"/>
      <c r="E2167" s="279"/>
      <c r="F2167" s="33"/>
    </row>
    <row r="2168" ht="13.5" customHeight="1">
      <c r="A2168" s="21"/>
      <c r="B2168" s="21"/>
      <c r="C2168" s="21"/>
      <c r="D2168" s="21"/>
      <c r="E2168" s="279"/>
      <c r="F2168" s="33"/>
    </row>
    <row r="2169" ht="13.5" customHeight="1">
      <c r="D2169" s="7"/>
      <c r="E2169" s="14" t="s">
        <v>37</v>
      </c>
      <c r="F2169" s="46">
        <f>SUM(F2163:F2168)</f>
        <v>5561</v>
      </c>
    </row>
    <row r="2170" ht="13.5" customHeight="1">
      <c r="D2170" s="7"/>
      <c r="E2170" s="9"/>
      <c r="F2170" s="9"/>
    </row>
    <row r="2171" ht="13.5" customHeight="1">
      <c r="A2171" s="14" t="s">
        <v>44</v>
      </c>
      <c r="D2171" s="7"/>
      <c r="E2171" s="9"/>
      <c r="F2171" s="9"/>
    </row>
    <row r="2172" ht="13.5" customHeight="1">
      <c r="A2172" s="18" t="s">
        <v>15</v>
      </c>
      <c r="B2172" s="18" t="s">
        <v>17</v>
      </c>
      <c r="C2172" s="18" t="s">
        <v>18</v>
      </c>
      <c r="D2172" s="18" t="s">
        <v>19</v>
      </c>
      <c r="E2172" s="18" t="s">
        <v>20</v>
      </c>
      <c r="F2172" s="18" t="s">
        <v>21</v>
      </c>
    </row>
    <row r="2173" ht="13.5" customHeight="1">
      <c r="A2173" s="21" t="s">
        <v>22</v>
      </c>
      <c r="B2173" s="21" t="s">
        <v>345</v>
      </c>
      <c r="C2173" s="21" t="s">
        <v>51</v>
      </c>
      <c r="D2173" s="187">
        <f>ROUND(1/B2157,2)</f>
        <v>0.17</v>
      </c>
      <c r="E2173" s="21">
        <v>65000.0</v>
      </c>
      <c r="F2173" s="33">
        <f t="shared" ref="F2173:F2174" si="108">+ROUND(IFERROR(D2173*E2173,0),0)</f>
        <v>11050</v>
      </c>
    </row>
    <row r="2174" ht="13.5" customHeight="1">
      <c r="A2174" s="21" t="s">
        <v>27</v>
      </c>
      <c r="B2174" s="21" t="s">
        <v>54</v>
      </c>
      <c r="C2174" s="21" t="s">
        <v>51</v>
      </c>
      <c r="D2174" s="187">
        <f>ROUND(1/B2157,2)</f>
        <v>0.17</v>
      </c>
      <c r="E2174" s="21">
        <v>50000.0</v>
      </c>
      <c r="F2174" s="33">
        <f t="shared" si="108"/>
        <v>8500</v>
      </c>
    </row>
    <row r="2175" ht="13.5" customHeight="1">
      <c r="D2175" s="7"/>
      <c r="E2175" s="14" t="s">
        <v>37</v>
      </c>
      <c r="F2175" s="46">
        <f>SUM(F2173:F2174)</f>
        <v>19550</v>
      </c>
    </row>
    <row r="2176" ht="13.5" customHeight="1">
      <c r="D2176" s="7"/>
      <c r="E2176" s="14" t="s">
        <v>59</v>
      </c>
      <c r="F2176" s="46">
        <f>ROUND(F2175*0.5,0)</f>
        <v>9775</v>
      </c>
    </row>
    <row r="2177" ht="13.5" customHeight="1">
      <c r="D2177" s="7"/>
      <c r="E2177" s="14" t="s">
        <v>60</v>
      </c>
      <c r="F2177" s="46">
        <f>F2175+F2176</f>
        <v>29325</v>
      </c>
    </row>
    <row r="2178" ht="13.5" customHeight="1">
      <c r="D2178" s="7"/>
      <c r="E2178" s="9"/>
      <c r="F2178" s="9"/>
    </row>
    <row r="2179" ht="13.5" customHeight="1">
      <c r="A2179" s="14" t="s">
        <v>62</v>
      </c>
      <c r="D2179" s="7"/>
      <c r="E2179" s="9"/>
      <c r="F2179" s="9"/>
    </row>
    <row r="2180" ht="13.5" customHeight="1">
      <c r="A2180" s="18" t="s">
        <v>15</v>
      </c>
      <c r="B2180" s="18" t="s">
        <v>17</v>
      </c>
      <c r="C2180" s="18" t="s">
        <v>18</v>
      </c>
      <c r="D2180" s="18" t="s">
        <v>19</v>
      </c>
      <c r="E2180" s="18" t="s">
        <v>20</v>
      </c>
      <c r="F2180" s="18" t="s">
        <v>21</v>
      </c>
    </row>
    <row r="2181" ht="13.5" customHeight="1">
      <c r="A2181" s="21" t="s">
        <v>22</v>
      </c>
      <c r="B2181" s="21" t="s">
        <v>394</v>
      </c>
      <c r="C2181" s="21" t="s">
        <v>51</v>
      </c>
      <c r="D2181" s="144">
        <f>ROUND(1/B2157,2)</f>
        <v>0.17</v>
      </c>
      <c r="E2181" s="21">
        <v>45000.0</v>
      </c>
      <c r="F2181" s="33">
        <f>+ROUND(IFERROR(D2181*E2181,0),0)</f>
        <v>7650</v>
      </c>
    </row>
    <row r="2182" ht="13.5" customHeight="1">
      <c r="A2182" s="21"/>
      <c r="B2182" s="21"/>
      <c r="C2182" s="21"/>
      <c r="D2182" s="144"/>
      <c r="E2182" s="21"/>
      <c r="F2182" s="33"/>
    </row>
    <row r="2183" ht="13.5" customHeight="1">
      <c r="D2183" s="7"/>
      <c r="E2183" s="14" t="s">
        <v>37</v>
      </c>
      <c r="F2183" s="46">
        <f>SUM(F2181:F2182)</f>
        <v>7650</v>
      </c>
    </row>
    <row r="2184" ht="13.5" customHeight="1">
      <c r="D2184" s="7"/>
      <c r="E2184" s="9"/>
      <c r="F2184" s="9"/>
    </row>
    <row r="2185" ht="13.5" customHeight="1">
      <c r="A2185" s="14" t="s">
        <v>74</v>
      </c>
      <c r="D2185" s="7"/>
      <c r="E2185" s="9"/>
      <c r="F2185" s="9"/>
    </row>
    <row r="2186" ht="13.5" customHeight="1">
      <c r="A2186" s="18"/>
      <c r="B2186" s="18" t="s">
        <v>17</v>
      </c>
      <c r="C2186" s="18" t="s">
        <v>18</v>
      </c>
      <c r="D2186" s="18" t="s">
        <v>19</v>
      </c>
      <c r="E2186" s="18" t="s">
        <v>20</v>
      </c>
      <c r="F2186" s="18" t="s">
        <v>21</v>
      </c>
    </row>
    <row r="2187" ht="13.5" customHeight="1">
      <c r="D2187" s="7"/>
      <c r="E2187" s="14" t="s">
        <v>77</v>
      </c>
      <c r="F2187" s="46">
        <f>F2169+F2177+F2183</f>
        <v>42536</v>
      </c>
    </row>
    <row r="2188" ht="13.5" customHeight="1">
      <c r="D2188" s="7"/>
      <c r="E2188" s="14" t="s">
        <v>6</v>
      </c>
      <c r="F2188" s="46">
        <f>ROUND(F2187*F2158,0)</f>
        <v>6380</v>
      </c>
    </row>
    <row r="2189" ht="13.5" customHeight="1">
      <c r="D2189" s="7"/>
      <c r="E2189" s="14" t="s">
        <v>8</v>
      </c>
      <c r="F2189" s="46">
        <f>ROUND(F2187*F2159,0)</f>
        <v>8507</v>
      </c>
    </row>
    <row r="2190" ht="13.5" customHeight="1">
      <c r="D2190" s="7"/>
      <c r="E2190" s="14" t="s">
        <v>81</v>
      </c>
      <c r="F2190" s="46">
        <f>F2187+F2188+F2189</f>
        <v>57423</v>
      </c>
    </row>
    <row r="2191" ht="13.5" customHeight="1">
      <c r="D2191" s="7"/>
      <c r="E2191" s="14" t="s">
        <v>82</v>
      </c>
      <c r="F2191" s="46">
        <f>ROUND(F2190*F2160,0)</f>
        <v>10910</v>
      </c>
    </row>
    <row r="2192" ht="13.5" customHeight="1">
      <c r="D2192" s="14" t="s">
        <v>83</v>
      </c>
      <c r="E2192" s="18" t="s">
        <v>84</v>
      </c>
      <c r="F2192" s="53">
        <f>F2190+F2191</f>
        <v>68333</v>
      </c>
    </row>
    <row r="2193" ht="13.5" customHeight="1"/>
    <row r="2194" ht="13.5" customHeight="1"/>
    <row r="2195" ht="13.5" customHeight="1"/>
    <row r="2196" ht="13.5" customHeight="1"/>
    <row r="2197" ht="13.5" customHeight="1"/>
    <row r="2198" ht="13.5" customHeight="1"/>
    <row r="2199" ht="13.5" customHeight="1"/>
    <row r="2200" ht="13.5" customHeight="1"/>
    <row r="2201" ht="13.5" customHeight="1">
      <c r="A2201" s="3" t="s">
        <v>1</v>
      </c>
      <c r="B2201" s="5">
        <v>6.0</v>
      </c>
      <c r="C2201" s="3" t="s">
        <v>2</v>
      </c>
      <c r="D2201" s="7"/>
      <c r="E2201" s="3" t="s">
        <v>3</v>
      </c>
      <c r="F2201" s="9"/>
    </row>
    <row r="2202" ht="13.5" customHeight="1">
      <c r="A2202" s="3" t="s">
        <v>4</v>
      </c>
      <c r="B2202" s="5" t="s">
        <v>5</v>
      </c>
      <c r="D2202" s="7"/>
      <c r="E2202" s="3" t="s">
        <v>6</v>
      </c>
      <c r="F2202" s="10">
        <v>0.15</v>
      </c>
    </row>
    <row r="2203" ht="13.5" customHeight="1">
      <c r="D2203" s="7"/>
      <c r="E2203" s="3" t="s">
        <v>8</v>
      </c>
      <c r="F2203" s="10">
        <v>0.2</v>
      </c>
    </row>
    <row r="2204" ht="13.5" customHeight="1">
      <c r="A2204" s="212" t="s">
        <v>512</v>
      </c>
      <c r="B2204" s="5" t="s">
        <v>513</v>
      </c>
      <c r="D2204" s="7"/>
      <c r="E2204" s="3" t="s">
        <v>10</v>
      </c>
      <c r="F2204" s="10">
        <v>0.19</v>
      </c>
    </row>
    <row r="2205" ht="13.5" customHeight="1">
      <c r="A2205" s="14" t="s">
        <v>11</v>
      </c>
      <c r="D2205" s="7"/>
      <c r="E2205" s="9"/>
      <c r="F2205" s="9"/>
    </row>
    <row r="2206" ht="13.5" customHeight="1">
      <c r="A2206" s="18" t="s">
        <v>15</v>
      </c>
      <c r="B2206" s="18" t="s">
        <v>17</v>
      </c>
      <c r="C2206" s="18" t="s">
        <v>18</v>
      </c>
      <c r="D2206" s="18" t="s">
        <v>19</v>
      </c>
      <c r="E2206" s="18" t="s">
        <v>20</v>
      </c>
      <c r="F2206" s="18" t="s">
        <v>21</v>
      </c>
    </row>
    <row r="2207" ht="13.5" customHeight="1">
      <c r="A2207" s="21" t="s">
        <v>22</v>
      </c>
      <c r="B2207" s="21" t="s">
        <v>514</v>
      </c>
      <c r="C2207" s="21" t="s">
        <v>5</v>
      </c>
      <c r="D2207" s="21">
        <v>1.0</v>
      </c>
      <c r="E2207" s="279">
        <v>22000.0</v>
      </c>
      <c r="F2207" s="33">
        <f t="shared" ref="F2207:F2208" si="109">ROUND(IFERROR(D2207*E2207,0),0)</f>
        <v>22000</v>
      </c>
    </row>
    <row r="2208" ht="13.5" customHeight="1">
      <c r="A2208" s="21" t="s">
        <v>27</v>
      </c>
      <c r="B2208" s="21" t="s">
        <v>515</v>
      </c>
      <c r="C2208" s="21" t="s">
        <v>34</v>
      </c>
      <c r="D2208" s="21">
        <v>1.0</v>
      </c>
      <c r="E2208" s="279">
        <v>2500.0</v>
      </c>
      <c r="F2208" s="33">
        <f t="shared" si="109"/>
        <v>2500</v>
      </c>
    </row>
    <row r="2209" ht="13.5" customHeight="1">
      <c r="A2209" s="21" t="s">
        <v>32</v>
      </c>
      <c r="B2209" s="21"/>
      <c r="C2209" s="21"/>
      <c r="D2209" s="21"/>
      <c r="E2209" s="279"/>
      <c r="F2209" s="33">
        <f t="shared" ref="F2209:F2210" si="110">IFERROR(D2209*E2209,0)</f>
        <v>0</v>
      </c>
    </row>
    <row r="2210" ht="13.5" customHeight="1">
      <c r="A2210" s="21" t="s">
        <v>99</v>
      </c>
      <c r="B2210" s="21"/>
      <c r="C2210" s="21"/>
      <c r="D2210" s="21"/>
      <c r="E2210" s="279"/>
      <c r="F2210" s="33">
        <f t="shared" si="110"/>
        <v>0</v>
      </c>
    </row>
    <row r="2211" ht="13.5" customHeight="1">
      <c r="A2211" s="21"/>
      <c r="B2211" s="21"/>
      <c r="C2211" s="21"/>
      <c r="D2211" s="21"/>
      <c r="E2211" s="279"/>
      <c r="F2211" s="33"/>
    </row>
    <row r="2212" ht="13.5" customHeight="1">
      <c r="A2212" s="21"/>
      <c r="B2212" s="21"/>
      <c r="C2212" s="21"/>
      <c r="D2212" s="21"/>
      <c r="E2212" s="279"/>
      <c r="F2212" s="33"/>
    </row>
    <row r="2213" ht="13.5" customHeight="1">
      <c r="D2213" s="7"/>
      <c r="E2213" s="14" t="s">
        <v>37</v>
      </c>
      <c r="F2213" s="46">
        <f>SUM(F2207:F2212)</f>
        <v>24500</v>
      </c>
    </row>
    <row r="2214" ht="13.5" customHeight="1">
      <c r="D2214" s="7"/>
      <c r="E2214" s="9"/>
      <c r="F2214" s="9"/>
    </row>
    <row r="2215" ht="13.5" customHeight="1">
      <c r="A2215" s="14" t="s">
        <v>44</v>
      </c>
      <c r="D2215" s="7"/>
      <c r="E2215" s="9"/>
      <c r="F2215" s="9"/>
    </row>
    <row r="2216" ht="13.5" customHeight="1">
      <c r="A2216" s="18" t="s">
        <v>15</v>
      </c>
      <c r="B2216" s="18" t="s">
        <v>17</v>
      </c>
      <c r="C2216" s="18" t="s">
        <v>18</v>
      </c>
      <c r="D2216" s="18" t="s">
        <v>19</v>
      </c>
      <c r="E2216" s="18" t="s">
        <v>20</v>
      </c>
      <c r="F2216" s="18" t="s">
        <v>21</v>
      </c>
    </row>
    <row r="2217" ht="13.5" customHeight="1">
      <c r="A2217" s="21" t="s">
        <v>22</v>
      </c>
      <c r="B2217" s="21" t="s">
        <v>345</v>
      </c>
      <c r="C2217" s="21" t="s">
        <v>51</v>
      </c>
      <c r="D2217" s="187">
        <v>0.08</v>
      </c>
      <c r="E2217" s="21">
        <v>65000.0</v>
      </c>
      <c r="F2217" s="33">
        <f t="shared" ref="F2217:F2218" si="111">ROUND(IFERROR(D2217*E2217,0),0)</f>
        <v>5200</v>
      </c>
    </row>
    <row r="2218" ht="13.5" customHeight="1">
      <c r="A2218" s="21" t="s">
        <v>27</v>
      </c>
      <c r="B2218" s="21" t="s">
        <v>54</v>
      </c>
      <c r="C2218" s="21" t="s">
        <v>51</v>
      </c>
      <c r="D2218" s="187">
        <v>0.08</v>
      </c>
      <c r="E2218" s="21">
        <v>50000.0</v>
      </c>
      <c r="F2218" s="33">
        <f t="shared" si="111"/>
        <v>4000</v>
      </c>
    </row>
    <row r="2219" ht="13.5" customHeight="1">
      <c r="D2219" s="7"/>
      <c r="E2219" s="14" t="s">
        <v>37</v>
      </c>
      <c r="F2219" s="46">
        <f>SUM(F2217:F2218)</f>
        <v>9200</v>
      </c>
    </row>
    <row r="2220" ht="13.5" customHeight="1">
      <c r="D2220" s="7"/>
      <c r="E2220" s="14" t="s">
        <v>59</v>
      </c>
      <c r="F2220" s="46">
        <f>ROUND(F2219*0.5,0)</f>
        <v>4600</v>
      </c>
    </row>
    <row r="2221" ht="13.5" customHeight="1">
      <c r="D2221" s="7"/>
      <c r="E2221" s="14" t="s">
        <v>60</v>
      </c>
      <c r="F2221" s="46">
        <f>F2219+F2220</f>
        <v>13800</v>
      </c>
    </row>
    <row r="2222" ht="13.5" customHeight="1">
      <c r="D2222" s="7"/>
      <c r="E2222" s="9"/>
      <c r="F2222" s="9"/>
    </row>
    <row r="2223" ht="13.5" customHeight="1">
      <c r="A2223" s="14" t="s">
        <v>62</v>
      </c>
      <c r="D2223" s="7"/>
      <c r="E2223" s="9"/>
      <c r="F2223" s="9"/>
    </row>
    <row r="2224" ht="13.5" customHeight="1">
      <c r="A2224" s="18" t="s">
        <v>15</v>
      </c>
      <c r="B2224" s="18" t="s">
        <v>17</v>
      </c>
      <c r="C2224" s="18" t="s">
        <v>18</v>
      </c>
      <c r="D2224" s="18" t="s">
        <v>19</v>
      </c>
      <c r="E2224" s="18" t="s">
        <v>20</v>
      </c>
      <c r="F2224" s="18" t="s">
        <v>21</v>
      </c>
    </row>
    <row r="2225" ht="13.5" customHeight="1">
      <c r="A2225" s="21" t="s">
        <v>22</v>
      </c>
      <c r="B2225" s="21" t="s">
        <v>394</v>
      </c>
      <c r="C2225" s="21" t="s">
        <v>51</v>
      </c>
      <c r="D2225" s="144">
        <f>ROUND(1/B2201,2)</f>
        <v>0.17</v>
      </c>
      <c r="E2225" s="21">
        <v>45000.0</v>
      </c>
      <c r="F2225" s="33">
        <f>ROUND(IFERROR(D2225*E2225,0),0)</f>
        <v>7650</v>
      </c>
    </row>
    <row r="2226" ht="13.5" customHeight="1">
      <c r="A2226" s="21"/>
      <c r="B2226" s="21"/>
      <c r="C2226" s="21"/>
      <c r="D2226" s="144"/>
      <c r="E2226" s="21"/>
      <c r="F2226" s="33"/>
    </row>
    <row r="2227" ht="13.5" customHeight="1">
      <c r="D2227" s="7"/>
      <c r="E2227" s="14" t="s">
        <v>37</v>
      </c>
      <c r="F2227" s="46">
        <f>SUM(F2225:F2226)</f>
        <v>7650</v>
      </c>
    </row>
    <row r="2228" ht="13.5" customHeight="1">
      <c r="D2228" s="7"/>
      <c r="E2228" s="9"/>
      <c r="F2228" s="9"/>
    </row>
    <row r="2229" ht="13.5" customHeight="1">
      <c r="A2229" s="14" t="s">
        <v>74</v>
      </c>
      <c r="D2229" s="7"/>
      <c r="E2229" s="9"/>
      <c r="F2229" s="9"/>
    </row>
    <row r="2230" ht="13.5" customHeight="1">
      <c r="A2230" s="18"/>
      <c r="B2230" s="18" t="s">
        <v>17</v>
      </c>
      <c r="C2230" s="18" t="s">
        <v>18</v>
      </c>
      <c r="D2230" s="18" t="s">
        <v>19</v>
      </c>
      <c r="E2230" s="18" t="s">
        <v>20</v>
      </c>
      <c r="F2230" s="18" t="s">
        <v>21</v>
      </c>
    </row>
    <row r="2231" ht="13.5" customHeight="1">
      <c r="D2231" s="7"/>
      <c r="E2231" s="14" t="s">
        <v>77</v>
      </c>
      <c r="F2231" s="46">
        <f>F2213+F2221+F2227</f>
        <v>45950</v>
      </c>
    </row>
    <row r="2232" ht="13.5" customHeight="1">
      <c r="D2232" s="7"/>
      <c r="E2232" s="14" t="s">
        <v>6</v>
      </c>
      <c r="F2232" s="46">
        <f>ROUND(F2231*F2202,0)</f>
        <v>6893</v>
      </c>
    </row>
    <row r="2233" ht="13.5" customHeight="1">
      <c r="D2233" s="7"/>
      <c r="E2233" s="14" t="s">
        <v>8</v>
      </c>
      <c r="F2233" s="46">
        <f>ROUND(F2231*F2203,0)</f>
        <v>9190</v>
      </c>
    </row>
    <row r="2234" ht="13.5" customHeight="1">
      <c r="D2234" s="7"/>
      <c r="E2234" s="14" t="s">
        <v>81</v>
      </c>
      <c r="F2234" s="46">
        <f>F2231+F2232+F2233</f>
        <v>62033</v>
      </c>
    </row>
    <row r="2235" ht="13.5" customHeight="1">
      <c r="D2235" s="7"/>
      <c r="E2235" s="14" t="s">
        <v>82</v>
      </c>
      <c r="F2235" s="46">
        <f>ROUND(F2234*F2204,0)</f>
        <v>11786</v>
      </c>
    </row>
    <row r="2236" ht="13.5" customHeight="1">
      <c r="D2236" s="14" t="s">
        <v>83</v>
      </c>
      <c r="E2236" s="18" t="s">
        <v>84</v>
      </c>
      <c r="F2236" s="53">
        <f>F2234+F2235</f>
        <v>73819</v>
      </c>
    </row>
    <row r="2237" ht="13.5" customHeight="1"/>
    <row r="2238" ht="13.5" customHeight="1"/>
    <row r="2239" ht="13.5" customHeight="1"/>
    <row r="2240" ht="13.5" customHeight="1"/>
    <row r="2241" ht="13.5" customHeight="1"/>
    <row r="2242" ht="13.5" customHeight="1"/>
    <row r="2243" ht="13.5" customHeight="1"/>
    <row r="2244" ht="13.5" customHeight="1"/>
    <row r="2245" ht="13.5" customHeight="1">
      <c r="A2245" s="3" t="s">
        <v>1</v>
      </c>
      <c r="B2245" s="5">
        <v>15.0</v>
      </c>
      <c r="C2245" s="3" t="s">
        <v>2</v>
      </c>
      <c r="D2245" s="7"/>
      <c r="E2245" s="3" t="s">
        <v>3</v>
      </c>
      <c r="F2245" s="9"/>
    </row>
    <row r="2246" ht="13.5" customHeight="1">
      <c r="A2246" s="3" t="s">
        <v>4</v>
      </c>
      <c r="B2246" s="5" t="s">
        <v>516</v>
      </c>
      <c r="D2246" s="7"/>
      <c r="E2246" s="3" t="s">
        <v>6</v>
      </c>
      <c r="F2246" s="10">
        <v>0.15</v>
      </c>
    </row>
    <row r="2247" ht="13.5" customHeight="1">
      <c r="D2247" s="7"/>
      <c r="E2247" s="3" t="s">
        <v>8</v>
      </c>
      <c r="F2247" s="10">
        <v>0.2</v>
      </c>
    </row>
    <row r="2248" ht="13.5" customHeight="1">
      <c r="B2248" s="5" t="s">
        <v>517</v>
      </c>
      <c r="D2248" s="7"/>
      <c r="E2248" s="3" t="s">
        <v>10</v>
      </c>
      <c r="F2248" s="10">
        <v>0.19</v>
      </c>
    </row>
    <row r="2249" ht="13.5" customHeight="1">
      <c r="A2249" s="14" t="s">
        <v>11</v>
      </c>
      <c r="D2249" s="7"/>
      <c r="E2249" s="9"/>
      <c r="F2249" s="9"/>
    </row>
    <row r="2250" ht="13.5" customHeight="1">
      <c r="A2250" s="18" t="s">
        <v>15</v>
      </c>
      <c r="B2250" s="18" t="s">
        <v>17</v>
      </c>
      <c r="C2250" s="18" t="s">
        <v>18</v>
      </c>
      <c r="D2250" s="18" t="s">
        <v>19</v>
      </c>
      <c r="E2250" s="18" t="s">
        <v>20</v>
      </c>
      <c r="F2250" s="18" t="s">
        <v>21</v>
      </c>
    </row>
    <row r="2251" ht="13.5" customHeight="1">
      <c r="A2251" s="21" t="s">
        <v>22</v>
      </c>
      <c r="B2251" s="21" t="s">
        <v>518</v>
      </c>
      <c r="C2251" s="21" t="s">
        <v>5</v>
      </c>
      <c r="D2251" s="21">
        <v>2.0</v>
      </c>
      <c r="E2251" s="279">
        <v>800.0</v>
      </c>
      <c r="F2251" s="33">
        <f t="shared" ref="F2251:F2253" si="112">ROUND(IFERROR(D2251*E2251,0),0)</f>
        <v>1600</v>
      </c>
    </row>
    <row r="2252" ht="13.5" customHeight="1">
      <c r="A2252" s="21" t="s">
        <v>27</v>
      </c>
      <c r="B2252" s="21" t="s">
        <v>519</v>
      </c>
      <c r="C2252" s="21" t="s">
        <v>34</v>
      </c>
      <c r="D2252" s="21">
        <v>0.1</v>
      </c>
      <c r="E2252" s="279">
        <v>45000.0</v>
      </c>
      <c r="F2252" s="33">
        <f t="shared" si="112"/>
        <v>4500</v>
      </c>
    </row>
    <row r="2253" ht="13.5" customHeight="1">
      <c r="A2253" s="21" t="s">
        <v>32</v>
      </c>
      <c r="B2253" s="21" t="s">
        <v>520</v>
      </c>
      <c r="C2253" s="21"/>
      <c r="D2253" s="21">
        <v>1.0</v>
      </c>
      <c r="E2253" s="279">
        <v>3000.0</v>
      </c>
      <c r="F2253" s="33">
        <f t="shared" si="112"/>
        <v>3000</v>
      </c>
    </row>
    <row r="2254" ht="13.5" customHeight="1">
      <c r="A2254" s="21" t="s">
        <v>99</v>
      </c>
      <c r="B2254" s="21"/>
      <c r="C2254" s="21"/>
      <c r="D2254" s="21"/>
      <c r="E2254" s="279"/>
      <c r="F2254" s="33">
        <f>IFERROR(D2254*E2254,0)</f>
        <v>0</v>
      </c>
    </row>
    <row r="2255" ht="13.5" customHeight="1">
      <c r="A2255" s="21"/>
      <c r="B2255" s="21"/>
      <c r="C2255" s="21"/>
      <c r="D2255" s="21"/>
      <c r="E2255" s="279"/>
      <c r="F2255" s="33"/>
    </row>
    <row r="2256" ht="13.5" customHeight="1">
      <c r="A2256" s="21"/>
      <c r="B2256" s="21"/>
      <c r="C2256" s="21"/>
      <c r="D2256" s="21"/>
      <c r="E2256" s="279"/>
      <c r="F2256" s="33"/>
    </row>
    <row r="2257" ht="13.5" customHeight="1">
      <c r="D2257" s="7"/>
      <c r="E2257" s="14" t="s">
        <v>37</v>
      </c>
      <c r="F2257" s="46">
        <f>SUM(F2251:F2256)</f>
        <v>9100</v>
      </c>
    </row>
    <row r="2258" ht="13.5" customHeight="1">
      <c r="D2258" s="7"/>
      <c r="E2258" s="9"/>
      <c r="F2258" s="9"/>
    </row>
    <row r="2259" ht="13.5" customHeight="1">
      <c r="A2259" s="14" t="s">
        <v>44</v>
      </c>
      <c r="D2259" s="7"/>
      <c r="E2259" s="9"/>
      <c r="F2259" s="9"/>
    </row>
    <row r="2260" ht="13.5" customHeight="1">
      <c r="A2260" s="18" t="s">
        <v>15</v>
      </c>
      <c r="B2260" s="18" t="s">
        <v>17</v>
      </c>
      <c r="C2260" s="18" t="s">
        <v>18</v>
      </c>
      <c r="D2260" s="18" t="s">
        <v>19</v>
      </c>
      <c r="E2260" s="18" t="s">
        <v>20</v>
      </c>
      <c r="F2260" s="18" t="s">
        <v>21</v>
      </c>
    </row>
    <row r="2261" ht="13.5" customHeight="1">
      <c r="A2261" s="21" t="s">
        <v>22</v>
      </c>
      <c r="B2261" s="21" t="s">
        <v>345</v>
      </c>
      <c r="C2261" s="21" t="s">
        <v>51</v>
      </c>
      <c r="D2261" s="187">
        <f>ROUND(1/B2245,2)</f>
        <v>0.07</v>
      </c>
      <c r="E2261" s="21">
        <v>65000.0</v>
      </c>
      <c r="F2261" s="33">
        <f t="shared" ref="F2261:F2262" si="113">ROUND(IFERROR(D2261*E2261,0),0)</f>
        <v>4550</v>
      </c>
    </row>
    <row r="2262" ht="13.5" customHeight="1">
      <c r="A2262" s="21" t="s">
        <v>27</v>
      </c>
      <c r="B2262" s="21" t="s">
        <v>54</v>
      </c>
      <c r="C2262" s="21" t="s">
        <v>51</v>
      </c>
      <c r="D2262" s="187">
        <f>ROUND(1/B2245,2)</f>
        <v>0.07</v>
      </c>
      <c r="E2262" s="21">
        <v>50000.0</v>
      </c>
      <c r="F2262" s="33">
        <f t="shared" si="113"/>
        <v>3500</v>
      </c>
    </row>
    <row r="2263" ht="13.5" customHeight="1">
      <c r="D2263" s="7"/>
      <c r="E2263" s="14" t="s">
        <v>37</v>
      </c>
      <c r="F2263" s="46">
        <f>SUM(F2261:F2262)</f>
        <v>8050</v>
      </c>
    </row>
    <row r="2264" ht="13.5" customHeight="1">
      <c r="D2264" s="7"/>
      <c r="E2264" s="14" t="s">
        <v>59</v>
      </c>
      <c r="F2264" s="46">
        <f>ROUND(F2263*0.5,0)</f>
        <v>4025</v>
      </c>
    </row>
    <row r="2265" ht="13.5" customHeight="1">
      <c r="D2265" s="7"/>
      <c r="E2265" s="14" t="s">
        <v>60</v>
      </c>
      <c r="F2265" s="46">
        <f>F2263+F2264</f>
        <v>12075</v>
      </c>
    </row>
    <row r="2266" ht="13.5" customHeight="1">
      <c r="D2266" s="7"/>
      <c r="E2266" s="9"/>
      <c r="F2266" s="9"/>
    </row>
    <row r="2267" ht="13.5" customHeight="1">
      <c r="A2267" s="14" t="s">
        <v>62</v>
      </c>
      <c r="D2267" s="7"/>
      <c r="E2267" s="9"/>
      <c r="F2267" s="9"/>
    </row>
    <row r="2268" ht="13.5" customHeight="1">
      <c r="A2268" s="18" t="s">
        <v>15</v>
      </c>
      <c r="B2268" s="18" t="s">
        <v>17</v>
      </c>
      <c r="C2268" s="18" t="s">
        <v>18</v>
      </c>
      <c r="D2268" s="18" t="s">
        <v>19</v>
      </c>
      <c r="E2268" s="18" t="s">
        <v>20</v>
      </c>
      <c r="F2268" s="18" t="s">
        <v>21</v>
      </c>
    </row>
    <row r="2269" ht="13.5" customHeight="1">
      <c r="A2269" s="21" t="s">
        <v>22</v>
      </c>
      <c r="B2269" s="21" t="s">
        <v>394</v>
      </c>
      <c r="C2269" s="21" t="s">
        <v>51</v>
      </c>
      <c r="D2269" s="144">
        <f>ROUND(1/B2245,2)</f>
        <v>0.07</v>
      </c>
      <c r="E2269" s="21">
        <v>45000.0</v>
      </c>
      <c r="F2269" s="33">
        <f>ROUND(IFERROR(D2269*E2269,0),0)</f>
        <v>3150</v>
      </c>
    </row>
    <row r="2270" ht="13.5" customHeight="1">
      <c r="A2270" s="21"/>
      <c r="B2270" s="21"/>
      <c r="C2270" s="21"/>
      <c r="D2270" s="144"/>
      <c r="E2270" s="21"/>
      <c r="F2270" s="33"/>
    </row>
    <row r="2271" ht="13.5" customHeight="1">
      <c r="D2271" s="7"/>
      <c r="E2271" s="14" t="s">
        <v>37</v>
      </c>
      <c r="F2271" s="46">
        <f>SUM(F2269:F2270)</f>
        <v>3150</v>
      </c>
    </row>
    <row r="2272" ht="13.5" customHeight="1">
      <c r="D2272" s="7"/>
      <c r="E2272" s="9"/>
      <c r="F2272" s="9"/>
    </row>
    <row r="2273" ht="13.5" customHeight="1">
      <c r="A2273" s="14" t="s">
        <v>74</v>
      </c>
      <c r="D2273" s="7"/>
      <c r="E2273" s="9"/>
      <c r="F2273" s="9"/>
    </row>
    <row r="2274" ht="13.5" customHeight="1">
      <c r="A2274" s="18"/>
      <c r="B2274" s="18" t="s">
        <v>17</v>
      </c>
      <c r="C2274" s="18" t="s">
        <v>18</v>
      </c>
      <c r="D2274" s="18" t="s">
        <v>19</v>
      </c>
      <c r="E2274" s="18" t="s">
        <v>20</v>
      </c>
      <c r="F2274" s="18" t="s">
        <v>21</v>
      </c>
    </row>
    <row r="2275" ht="13.5" customHeight="1">
      <c r="D2275" s="7"/>
      <c r="E2275" s="14" t="s">
        <v>77</v>
      </c>
      <c r="F2275" s="46">
        <f>F2257+F2265+F2271</f>
        <v>24325</v>
      </c>
    </row>
    <row r="2276" ht="13.5" customHeight="1">
      <c r="D2276" s="7"/>
      <c r="E2276" s="14" t="s">
        <v>6</v>
      </c>
      <c r="F2276" s="46">
        <f>ROUND(F2275*F2246,0)</f>
        <v>3649</v>
      </c>
    </row>
    <row r="2277" ht="13.5" customHeight="1">
      <c r="D2277" s="7"/>
      <c r="E2277" s="14" t="s">
        <v>8</v>
      </c>
      <c r="F2277" s="46">
        <f>ROUND(F2275*F2247,0)</f>
        <v>4865</v>
      </c>
    </row>
    <row r="2278" ht="13.5" customHeight="1">
      <c r="D2278" s="7"/>
      <c r="E2278" s="14" t="s">
        <v>81</v>
      </c>
      <c r="F2278" s="46">
        <f>F2275+F2276+F2277</f>
        <v>32839</v>
      </c>
    </row>
    <row r="2279" ht="13.5" customHeight="1">
      <c r="D2279" s="7"/>
      <c r="E2279" s="14" t="s">
        <v>82</v>
      </c>
      <c r="F2279" s="46">
        <f>ROUND(F2278*F2248,0)</f>
        <v>6239</v>
      </c>
    </row>
    <row r="2280" ht="13.5" customHeight="1">
      <c r="D2280" s="14" t="s">
        <v>521</v>
      </c>
      <c r="E2280" s="18" t="s">
        <v>84</v>
      </c>
      <c r="F2280" s="53">
        <f>F2278+F2279</f>
        <v>39078</v>
      </c>
    </row>
    <row r="2281" ht="13.5" customHeight="1"/>
    <row r="2282" ht="13.5" customHeight="1"/>
    <row r="2283" ht="13.5" customHeight="1"/>
    <row r="2284" ht="13.5" customHeight="1"/>
    <row r="2285" ht="13.5" customHeight="1"/>
    <row r="2286" ht="13.5" customHeight="1"/>
    <row r="2287" ht="13.5" customHeight="1"/>
    <row r="2288" ht="13.5" customHeight="1"/>
    <row r="2289" ht="13.5" customHeight="1">
      <c r="A2289" s="3" t="s">
        <v>1</v>
      </c>
      <c r="B2289" s="5">
        <v>20.0</v>
      </c>
      <c r="C2289" s="3" t="s">
        <v>2</v>
      </c>
      <c r="D2289" s="7"/>
      <c r="E2289" s="3" t="s">
        <v>3</v>
      </c>
      <c r="F2289" s="9"/>
    </row>
    <row r="2290" ht="13.5" customHeight="1">
      <c r="A2290" s="3" t="s">
        <v>4</v>
      </c>
      <c r="B2290" s="5" t="s">
        <v>516</v>
      </c>
      <c r="D2290" s="7"/>
      <c r="E2290" s="3" t="s">
        <v>6</v>
      </c>
      <c r="F2290" s="10">
        <v>0.15</v>
      </c>
    </row>
    <row r="2291" ht="13.5" customHeight="1">
      <c r="D2291" s="7"/>
      <c r="E2291" s="3" t="s">
        <v>8</v>
      </c>
      <c r="F2291" s="10">
        <v>0.2</v>
      </c>
    </row>
    <row r="2292" ht="13.5" customHeight="1">
      <c r="B2292" s="5" t="s">
        <v>522</v>
      </c>
      <c r="D2292" s="7"/>
      <c r="E2292" s="3" t="s">
        <v>10</v>
      </c>
      <c r="F2292" s="10">
        <v>0.19</v>
      </c>
    </row>
    <row r="2293" ht="13.5" customHeight="1">
      <c r="A2293" s="14" t="s">
        <v>11</v>
      </c>
      <c r="D2293" s="7"/>
      <c r="E2293" s="9"/>
      <c r="F2293" s="9"/>
    </row>
    <row r="2294" ht="13.5" customHeight="1">
      <c r="A2294" s="18" t="s">
        <v>15</v>
      </c>
      <c r="B2294" s="18" t="s">
        <v>17</v>
      </c>
      <c r="C2294" s="18" t="s">
        <v>18</v>
      </c>
      <c r="D2294" s="18" t="s">
        <v>19</v>
      </c>
      <c r="E2294" s="18" t="s">
        <v>20</v>
      </c>
      <c r="F2294" s="18" t="s">
        <v>21</v>
      </c>
    </row>
    <row r="2295" ht="13.5" customHeight="1">
      <c r="A2295" s="21" t="s">
        <v>22</v>
      </c>
      <c r="B2295" s="21" t="s">
        <v>477</v>
      </c>
      <c r="C2295" s="21" t="s">
        <v>383</v>
      </c>
      <c r="D2295" s="21">
        <v>6.0</v>
      </c>
      <c r="E2295" s="279">
        <v>120.672268907563</v>
      </c>
      <c r="F2295" s="33">
        <f t="shared" ref="F2295:F2297" si="114">ROUND(IFERROR(D2295*E2295,0),0)</f>
        <v>724</v>
      </c>
    </row>
    <row r="2296" ht="13.5" customHeight="1">
      <c r="A2296" s="21" t="s">
        <v>27</v>
      </c>
      <c r="B2296" s="21" t="s">
        <v>478</v>
      </c>
      <c r="C2296" s="21" t="s">
        <v>439</v>
      </c>
      <c r="D2296" s="21">
        <v>0.05</v>
      </c>
      <c r="E2296" s="279">
        <v>5873.949579831933</v>
      </c>
      <c r="F2296" s="33">
        <f t="shared" si="114"/>
        <v>294</v>
      </c>
    </row>
    <row r="2297" ht="13.5" customHeight="1">
      <c r="A2297" s="21" t="s">
        <v>32</v>
      </c>
      <c r="B2297" s="21" t="s">
        <v>479</v>
      </c>
      <c r="C2297" s="21" t="s">
        <v>34</v>
      </c>
      <c r="D2297" s="21">
        <v>1.0</v>
      </c>
      <c r="E2297" s="279">
        <v>1200.0</v>
      </c>
      <c r="F2297" s="33">
        <f t="shared" si="114"/>
        <v>1200</v>
      </c>
    </row>
    <row r="2298" ht="13.5" customHeight="1">
      <c r="A2298" s="21" t="s">
        <v>99</v>
      </c>
      <c r="B2298" s="21"/>
      <c r="C2298" s="21"/>
      <c r="D2298" s="21"/>
      <c r="E2298" s="279"/>
      <c r="F2298" s="33"/>
    </row>
    <row r="2299" ht="13.5" customHeight="1">
      <c r="A2299" s="21"/>
      <c r="B2299" s="21"/>
      <c r="C2299" s="21"/>
      <c r="D2299" s="21"/>
      <c r="E2299" s="279"/>
      <c r="F2299" s="33"/>
    </row>
    <row r="2300" ht="13.5" customHeight="1">
      <c r="A2300" s="21"/>
      <c r="B2300" s="21"/>
      <c r="C2300" s="21"/>
      <c r="D2300" s="21"/>
      <c r="E2300" s="279"/>
      <c r="F2300" s="33"/>
    </row>
    <row r="2301" ht="13.5" customHeight="1">
      <c r="D2301" s="7"/>
      <c r="E2301" s="14" t="s">
        <v>37</v>
      </c>
      <c r="F2301" s="46">
        <f>SUM(F2295:F2300)</f>
        <v>2218</v>
      </c>
    </row>
    <row r="2302" ht="13.5" customHeight="1">
      <c r="D2302" s="7"/>
      <c r="E2302" s="9"/>
      <c r="F2302" s="9"/>
    </row>
    <row r="2303" ht="13.5" customHeight="1">
      <c r="A2303" s="14" t="s">
        <v>44</v>
      </c>
      <c r="D2303" s="7"/>
      <c r="E2303" s="9"/>
      <c r="F2303" s="9"/>
    </row>
    <row r="2304" ht="13.5" customHeight="1">
      <c r="A2304" s="18" t="s">
        <v>15</v>
      </c>
      <c r="B2304" s="18" t="s">
        <v>17</v>
      </c>
      <c r="C2304" s="18" t="s">
        <v>18</v>
      </c>
      <c r="D2304" s="18" t="s">
        <v>19</v>
      </c>
      <c r="E2304" s="18" t="s">
        <v>20</v>
      </c>
      <c r="F2304" s="18" t="s">
        <v>21</v>
      </c>
    </row>
    <row r="2305" ht="13.5" customHeight="1">
      <c r="A2305" s="21" t="s">
        <v>22</v>
      </c>
      <c r="B2305" s="21" t="s">
        <v>345</v>
      </c>
      <c r="C2305" s="21" t="s">
        <v>51</v>
      </c>
      <c r="D2305" s="187">
        <f>ROUND(1/B2289,2)</f>
        <v>0.05</v>
      </c>
      <c r="E2305" s="21">
        <v>65000.0</v>
      </c>
      <c r="F2305" s="33">
        <f t="shared" ref="F2305:F2306" si="115">ROUND(IFERROR(D2305*E2305,0),0)</f>
        <v>3250</v>
      </c>
    </row>
    <row r="2306" ht="13.5" customHeight="1">
      <c r="A2306" s="21" t="s">
        <v>27</v>
      </c>
      <c r="B2306" s="21" t="s">
        <v>54</v>
      </c>
      <c r="C2306" s="21" t="s">
        <v>51</v>
      </c>
      <c r="D2306" s="187">
        <f>ROUND(1/B2289,2)</f>
        <v>0.05</v>
      </c>
      <c r="E2306" s="21">
        <v>50000.0</v>
      </c>
      <c r="F2306" s="33">
        <f t="shared" si="115"/>
        <v>2500</v>
      </c>
    </row>
    <row r="2307" ht="13.5" customHeight="1">
      <c r="D2307" s="7"/>
      <c r="E2307" s="14" t="s">
        <v>37</v>
      </c>
      <c r="F2307" s="46">
        <f>SUM(F2305:F2306)</f>
        <v>5750</v>
      </c>
    </row>
    <row r="2308" ht="13.5" customHeight="1">
      <c r="D2308" s="7"/>
      <c r="E2308" s="14" t="s">
        <v>59</v>
      </c>
      <c r="F2308" s="46">
        <f>ROUND(F2307*0.5,0)</f>
        <v>2875</v>
      </c>
    </row>
    <row r="2309" ht="13.5" customHeight="1">
      <c r="D2309" s="7"/>
      <c r="E2309" s="14" t="s">
        <v>60</v>
      </c>
      <c r="F2309" s="46">
        <f>F2307+F2308</f>
        <v>8625</v>
      </c>
    </row>
    <row r="2310" ht="13.5" customHeight="1">
      <c r="D2310" s="7"/>
      <c r="E2310" s="9"/>
      <c r="F2310" s="9"/>
    </row>
    <row r="2311" ht="13.5" customHeight="1">
      <c r="A2311" s="14" t="s">
        <v>62</v>
      </c>
      <c r="D2311" s="7"/>
      <c r="E2311" s="9"/>
      <c r="F2311" s="9"/>
    </row>
    <row r="2312" ht="13.5" customHeight="1">
      <c r="A2312" s="18" t="s">
        <v>15</v>
      </c>
      <c r="B2312" s="18" t="s">
        <v>17</v>
      </c>
      <c r="C2312" s="18" t="s">
        <v>18</v>
      </c>
      <c r="D2312" s="18" t="s">
        <v>19</v>
      </c>
      <c r="E2312" s="18" t="s">
        <v>20</v>
      </c>
      <c r="F2312" s="18" t="s">
        <v>21</v>
      </c>
    </row>
    <row r="2313" ht="13.5" customHeight="1">
      <c r="A2313" s="21" t="s">
        <v>22</v>
      </c>
      <c r="B2313" s="21" t="s">
        <v>394</v>
      </c>
      <c r="C2313" s="21" t="s">
        <v>51</v>
      </c>
      <c r="D2313" s="144">
        <f>ROUND(1/B2289,2)</f>
        <v>0.05</v>
      </c>
      <c r="E2313" s="21">
        <v>45000.0</v>
      </c>
      <c r="F2313" s="33">
        <f>ROUND(IFERROR(D2313*E2313,0),0)</f>
        <v>2250</v>
      </c>
    </row>
    <row r="2314" ht="13.5" customHeight="1">
      <c r="A2314" s="21"/>
      <c r="B2314" s="21"/>
      <c r="C2314" s="21"/>
      <c r="D2314" s="144"/>
      <c r="E2314" s="21"/>
      <c r="F2314" s="33"/>
    </row>
    <row r="2315" ht="13.5" customHeight="1">
      <c r="D2315" s="7"/>
      <c r="E2315" s="14" t="s">
        <v>37</v>
      </c>
      <c r="F2315" s="46">
        <f>SUM(F2313:F2314)</f>
        <v>2250</v>
      </c>
    </row>
    <row r="2316" ht="13.5" customHeight="1">
      <c r="D2316" s="7"/>
      <c r="E2316" s="9"/>
      <c r="F2316" s="9"/>
    </row>
    <row r="2317" ht="13.5" customHeight="1">
      <c r="A2317" s="14" t="s">
        <v>74</v>
      </c>
      <c r="D2317" s="7"/>
      <c r="E2317" s="9"/>
      <c r="F2317" s="9"/>
    </row>
    <row r="2318" ht="13.5" customHeight="1">
      <c r="A2318" s="18"/>
      <c r="B2318" s="18" t="s">
        <v>17</v>
      </c>
      <c r="C2318" s="18" t="s">
        <v>18</v>
      </c>
      <c r="D2318" s="18" t="s">
        <v>19</v>
      </c>
      <c r="E2318" s="18" t="s">
        <v>20</v>
      </c>
      <c r="F2318" s="18" t="s">
        <v>21</v>
      </c>
    </row>
    <row r="2319" ht="13.5" customHeight="1">
      <c r="D2319" s="7"/>
      <c r="E2319" s="14" t="s">
        <v>77</v>
      </c>
      <c r="F2319" s="46">
        <f>F2301+F2309+F2315</f>
        <v>13093</v>
      </c>
    </row>
    <row r="2320" ht="13.5" customHeight="1">
      <c r="D2320" s="7"/>
      <c r="E2320" s="14" t="s">
        <v>6</v>
      </c>
      <c r="F2320" s="46">
        <f>ROUND(F2319*F2290,0)</f>
        <v>1964</v>
      </c>
    </row>
    <row r="2321" ht="13.5" customHeight="1">
      <c r="D2321" s="7"/>
      <c r="E2321" s="14" t="s">
        <v>8</v>
      </c>
      <c r="F2321" s="46">
        <f>ROUND(F2319*F2291,0)</f>
        <v>2619</v>
      </c>
    </row>
    <row r="2322" ht="13.5" customHeight="1">
      <c r="D2322" s="7"/>
      <c r="E2322" s="14" t="s">
        <v>81</v>
      </c>
      <c r="F2322" s="46">
        <f>F2319+F2320+F2321</f>
        <v>17676</v>
      </c>
    </row>
    <row r="2323" ht="13.5" customHeight="1">
      <c r="D2323" s="7"/>
      <c r="E2323" s="14" t="s">
        <v>82</v>
      </c>
      <c r="F2323" s="46">
        <f>ROUND(F2322*F2292,0)</f>
        <v>3358</v>
      </c>
    </row>
    <row r="2324" ht="13.5" customHeight="1">
      <c r="D2324" s="14" t="s">
        <v>521</v>
      </c>
      <c r="E2324" s="18" t="s">
        <v>84</v>
      </c>
      <c r="F2324" s="53">
        <f>F2322+F2323</f>
        <v>21034</v>
      </c>
    </row>
    <row r="2325" ht="13.5" customHeight="1"/>
    <row r="2326" ht="13.5" customHeight="1"/>
    <row r="2327" ht="13.5" customHeight="1"/>
    <row r="2328" ht="13.5" customHeight="1"/>
    <row r="2329" ht="13.5" customHeight="1"/>
    <row r="2330" ht="13.5" customHeight="1"/>
    <row r="2331" ht="13.5" customHeight="1"/>
    <row r="2332" ht="13.5" customHeight="1"/>
    <row r="2333" ht="13.5" customHeight="1">
      <c r="A2333" s="3" t="s">
        <v>1</v>
      </c>
      <c r="B2333" s="5">
        <v>8.0</v>
      </c>
      <c r="C2333" s="3" t="s">
        <v>2</v>
      </c>
      <c r="D2333" s="7"/>
      <c r="E2333" s="3" t="s">
        <v>3</v>
      </c>
      <c r="F2333" s="9"/>
    </row>
    <row r="2334" ht="13.5" customHeight="1">
      <c r="A2334" s="3" t="s">
        <v>4</v>
      </c>
      <c r="B2334" s="5" t="s">
        <v>30</v>
      </c>
      <c r="D2334" s="7"/>
      <c r="E2334" s="3" t="s">
        <v>6</v>
      </c>
      <c r="F2334" s="10">
        <v>0.15</v>
      </c>
    </row>
    <row r="2335" ht="13.5" customHeight="1">
      <c r="D2335" s="7"/>
      <c r="E2335" s="3" t="s">
        <v>8</v>
      </c>
      <c r="F2335" s="10">
        <v>0.2</v>
      </c>
    </row>
    <row r="2336" ht="13.5" customHeight="1">
      <c r="B2336" s="5" t="s">
        <v>523</v>
      </c>
      <c r="D2336" s="7"/>
      <c r="E2336" s="3" t="s">
        <v>10</v>
      </c>
      <c r="F2336" s="10">
        <v>0.19</v>
      </c>
    </row>
    <row r="2337" ht="13.5" customHeight="1">
      <c r="A2337" s="14" t="s">
        <v>11</v>
      </c>
      <c r="D2337" s="7"/>
      <c r="E2337" s="9"/>
      <c r="F2337" s="9"/>
    </row>
    <row r="2338" ht="13.5" customHeight="1">
      <c r="A2338" s="18" t="s">
        <v>15</v>
      </c>
      <c r="B2338" s="18" t="s">
        <v>17</v>
      </c>
      <c r="C2338" s="18" t="s">
        <v>18</v>
      </c>
      <c r="D2338" s="18" t="s">
        <v>19</v>
      </c>
      <c r="E2338" s="18" t="s">
        <v>20</v>
      </c>
      <c r="F2338" s="18" t="s">
        <v>21</v>
      </c>
    </row>
    <row r="2339" ht="13.5" customHeight="1">
      <c r="A2339" s="21" t="s">
        <v>22</v>
      </c>
      <c r="B2339" s="21" t="s">
        <v>524</v>
      </c>
      <c r="C2339" s="21" t="s">
        <v>30</v>
      </c>
      <c r="D2339" s="21">
        <v>1.0</v>
      </c>
      <c r="E2339" s="279">
        <v>75000.0</v>
      </c>
      <c r="F2339" s="33">
        <f t="shared" ref="F2339:F2344" si="116">ROUND(IFERROR(D2339*E2339,0),0)</f>
        <v>75000</v>
      </c>
    </row>
    <row r="2340" ht="13.5" customHeight="1">
      <c r="A2340" s="21" t="s">
        <v>27</v>
      </c>
      <c r="B2340" s="21" t="s">
        <v>525</v>
      </c>
      <c r="C2340" s="21" t="s">
        <v>30</v>
      </c>
      <c r="D2340" s="21">
        <v>1.0</v>
      </c>
      <c r="E2340" s="279">
        <v>12000.0</v>
      </c>
      <c r="F2340" s="33">
        <f t="shared" si="116"/>
        <v>12000</v>
      </c>
    </row>
    <row r="2341" ht="13.5" customHeight="1">
      <c r="A2341" s="21" t="s">
        <v>32</v>
      </c>
      <c r="B2341" s="21" t="s">
        <v>526</v>
      </c>
      <c r="C2341" s="21" t="s">
        <v>96</v>
      </c>
      <c r="D2341" s="21">
        <v>0.2</v>
      </c>
      <c r="E2341" s="279">
        <v>3500.0</v>
      </c>
      <c r="F2341" s="33">
        <f t="shared" si="116"/>
        <v>700</v>
      </c>
    </row>
    <row r="2342" ht="13.5" customHeight="1">
      <c r="A2342" s="21" t="s">
        <v>99</v>
      </c>
      <c r="B2342" s="21" t="s">
        <v>527</v>
      </c>
      <c r="C2342" s="21" t="s">
        <v>528</v>
      </c>
      <c r="D2342" s="21">
        <v>0.2</v>
      </c>
      <c r="E2342" s="279">
        <v>4000.0</v>
      </c>
      <c r="F2342" s="33">
        <f t="shared" si="116"/>
        <v>800</v>
      </c>
    </row>
    <row r="2343" ht="13.5" customHeight="1">
      <c r="A2343" s="21" t="s">
        <v>101</v>
      </c>
      <c r="B2343" s="21" t="s">
        <v>529</v>
      </c>
      <c r="C2343" s="21" t="s">
        <v>530</v>
      </c>
      <c r="D2343" s="21">
        <v>1.0</v>
      </c>
      <c r="E2343" s="279">
        <v>15000.0</v>
      </c>
      <c r="F2343" s="33">
        <f t="shared" si="116"/>
        <v>15000</v>
      </c>
    </row>
    <row r="2344" ht="13.5" customHeight="1">
      <c r="A2344" s="21" t="s">
        <v>107</v>
      </c>
      <c r="B2344" s="21" t="s">
        <v>531</v>
      </c>
      <c r="C2344" s="21" t="s">
        <v>530</v>
      </c>
      <c r="D2344" s="21">
        <v>1.0</v>
      </c>
      <c r="E2344" s="279">
        <v>3000.0</v>
      </c>
      <c r="F2344" s="33">
        <f t="shared" si="116"/>
        <v>3000</v>
      </c>
    </row>
    <row r="2345" ht="13.5" customHeight="1">
      <c r="D2345" s="7"/>
      <c r="E2345" s="14" t="s">
        <v>37</v>
      </c>
      <c r="F2345" s="46">
        <f>SUM(F2339:F2344)</f>
        <v>106500</v>
      </c>
    </row>
    <row r="2346" ht="13.5" customHeight="1">
      <c r="D2346" s="7"/>
      <c r="E2346" s="9"/>
      <c r="F2346" s="9"/>
    </row>
    <row r="2347" ht="13.5" customHeight="1">
      <c r="A2347" s="14" t="s">
        <v>44</v>
      </c>
      <c r="D2347" s="7"/>
      <c r="E2347" s="9"/>
      <c r="F2347" s="9"/>
    </row>
    <row r="2348" ht="13.5" customHeight="1">
      <c r="A2348" s="18" t="s">
        <v>15</v>
      </c>
      <c r="B2348" s="18" t="s">
        <v>17</v>
      </c>
      <c r="C2348" s="18" t="s">
        <v>18</v>
      </c>
      <c r="D2348" s="18" t="s">
        <v>19</v>
      </c>
      <c r="E2348" s="18" t="s">
        <v>20</v>
      </c>
      <c r="F2348" s="18" t="s">
        <v>21</v>
      </c>
    </row>
    <row r="2349" ht="13.5" customHeight="1">
      <c r="A2349" s="21" t="s">
        <v>22</v>
      </c>
      <c r="B2349" s="21" t="s">
        <v>345</v>
      </c>
      <c r="C2349" s="21" t="s">
        <v>51</v>
      </c>
      <c r="D2349" s="187">
        <f>ROUND(1/B2333,2)</f>
        <v>0.13</v>
      </c>
      <c r="E2349" s="21">
        <v>65000.0</v>
      </c>
      <c r="F2349" s="33">
        <f t="shared" ref="F2349:F2350" si="117">ROUND(IFERROR(D2349*E2349,0),0)</f>
        <v>8450</v>
      </c>
    </row>
    <row r="2350" ht="13.5" customHeight="1">
      <c r="A2350" s="21" t="s">
        <v>27</v>
      </c>
      <c r="B2350" s="21" t="s">
        <v>54</v>
      </c>
      <c r="C2350" s="21" t="s">
        <v>51</v>
      </c>
      <c r="D2350" s="187">
        <f>ROUND(1/B2333,2)</f>
        <v>0.13</v>
      </c>
      <c r="E2350" s="21">
        <v>50000.0</v>
      </c>
      <c r="F2350" s="33">
        <f t="shared" si="117"/>
        <v>6500</v>
      </c>
    </row>
    <row r="2351" ht="13.5" customHeight="1">
      <c r="D2351" s="7"/>
      <c r="E2351" s="14" t="s">
        <v>37</v>
      </c>
      <c r="F2351" s="46">
        <f>SUM(F2349:F2350)</f>
        <v>14950</v>
      </c>
    </row>
    <row r="2352" ht="13.5" customHeight="1">
      <c r="D2352" s="7"/>
      <c r="E2352" s="14" t="s">
        <v>59</v>
      </c>
      <c r="F2352" s="46">
        <f>ROUND(F2351*0.5,0)</f>
        <v>7475</v>
      </c>
    </row>
    <row r="2353" ht="13.5" customHeight="1">
      <c r="D2353" s="7"/>
      <c r="E2353" s="14" t="s">
        <v>60</v>
      </c>
      <c r="F2353" s="46">
        <f>F2351+F2352</f>
        <v>22425</v>
      </c>
    </row>
    <row r="2354" ht="13.5" customHeight="1">
      <c r="D2354" s="7"/>
      <c r="E2354" s="9"/>
      <c r="F2354" s="9"/>
    </row>
    <row r="2355" ht="13.5" customHeight="1">
      <c r="A2355" s="14" t="s">
        <v>62</v>
      </c>
      <c r="D2355" s="7"/>
      <c r="E2355" s="9"/>
      <c r="F2355" s="9"/>
    </row>
    <row r="2356" ht="13.5" customHeight="1">
      <c r="A2356" s="18" t="s">
        <v>15</v>
      </c>
      <c r="B2356" s="18" t="s">
        <v>17</v>
      </c>
      <c r="C2356" s="18" t="s">
        <v>18</v>
      </c>
      <c r="D2356" s="18" t="s">
        <v>19</v>
      </c>
      <c r="E2356" s="18" t="s">
        <v>20</v>
      </c>
      <c r="F2356" s="18" t="s">
        <v>21</v>
      </c>
    </row>
    <row r="2357" ht="13.5" customHeight="1">
      <c r="A2357" s="21" t="s">
        <v>22</v>
      </c>
      <c r="B2357" s="21" t="s">
        <v>394</v>
      </c>
      <c r="C2357" s="21" t="s">
        <v>51</v>
      </c>
      <c r="D2357" s="144">
        <f>ROUND(1/B2333,2)</f>
        <v>0.13</v>
      </c>
      <c r="E2357" s="21">
        <v>45000.0</v>
      </c>
      <c r="F2357" s="33">
        <f>ROUND(IFERROR(D2357*E2357,0),0)</f>
        <v>5850</v>
      </c>
    </row>
    <row r="2358" ht="13.5" customHeight="1">
      <c r="A2358" s="21"/>
      <c r="B2358" s="21"/>
      <c r="C2358" s="21"/>
      <c r="D2358" s="144"/>
      <c r="E2358" s="21"/>
      <c r="F2358" s="33"/>
    </row>
    <row r="2359" ht="13.5" customHeight="1">
      <c r="D2359" s="7"/>
      <c r="E2359" s="14" t="s">
        <v>37</v>
      </c>
      <c r="F2359" s="46">
        <f>SUM(F2357:F2358)</f>
        <v>5850</v>
      </c>
    </row>
    <row r="2360" ht="13.5" customHeight="1">
      <c r="D2360" s="7"/>
      <c r="E2360" s="9"/>
      <c r="F2360" s="9"/>
    </row>
    <row r="2361" ht="13.5" customHeight="1">
      <c r="A2361" s="14" t="s">
        <v>74</v>
      </c>
      <c r="D2361" s="7"/>
      <c r="E2361" s="9"/>
      <c r="F2361" s="9"/>
    </row>
    <row r="2362" ht="13.5" customHeight="1">
      <c r="A2362" s="18"/>
      <c r="B2362" s="18" t="s">
        <v>17</v>
      </c>
      <c r="C2362" s="18" t="s">
        <v>18</v>
      </c>
      <c r="D2362" s="18" t="s">
        <v>19</v>
      </c>
      <c r="E2362" s="18" t="s">
        <v>20</v>
      </c>
      <c r="F2362" s="18" t="s">
        <v>21</v>
      </c>
    </row>
    <row r="2363" ht="13.5" customHeight="1">
      <c r="D2363" s="7"/>
      <c r="E2363" s="14" t="s">
        <v>77</v>
      </c>
      <c r="F2363" s="46">
        <f>F2345+F2353+F2359</f>
        <v>134775</v>
      </c>
    </row>
    <row r="2364" ht="13.5" customHeight="1">
      <c r="D2364" s="7"/>
      <c r="E2364" s="14" t="s">
        <v>6</v>
      </c>
      <c r="F2364" s="46">
        <f>ROUND(F2363*F2334,0)</f>
        <v>20216</v>
      </c>
    </row>
    <row r="2365" ht="13.5" customHeight="1">
      <c r="D2365" s="7"/>
      <c r="E2365" s="14" t="s">
        <v>8</v>
      </c>
      <c r="F2365" s="46">
        <f>ROUND(F2363*F2335,0)</f>
        <v>26955</v>
      </c>
    </row>
    <row r="2366" ht="13.5" customHeight="1">
      <c r="D2366" s="7"/>
      <c r="E2366" s="14" t="s">
        <v>81</v>
      </c>
      <c r="F2366" s="46">
        <f>F2363+F2364+F2365</f>
        <v>181946</v>
      </c>
    </row>
    <row r="2367" ht="13.5" customHeight="1">
      <c r="D2367" s="7"/>
      <c r="E2367" s="14" t="s">
        <v>82</v>
      </c>
      <c r="F2367" s="46">
        <f>ROUND(F2366*F2336,0)</f>
        <v>34570</v>
      </c>
    </row>
    <row r="2368" ht="13.5" customHeight="1">
      <c r="D2368" s="14" t="s">
        <v>425</v>
      </c>
      <c r="E2368" s="18" t="s">
        <v>84</v>
      </c>
      <c r="F2368" s="53">
        <f>F2366+F2367</f>
        <v>216516</v>
      </c>
    </row>
    <row r="2369" ht="13.5" customHeight="1"/>
    <row r="2370" ht="13.5" customHeight="1"/>
    <row r="2371" ht="13.5" customHeight="1"/>
    <row r="2372" ht="13.5" customHeight="1"/>
    <row r="2373" ht="13.5" customHeight="1"/>
    <row r="2374" ht="13.5" customHeight="1"/>
    <row r="2375" ht="13.5" customHeight="1"/>
    <row r="2376" ht="13.5" customHeight="1"/>
    <row r="2377" ht="13.5" customHeight="1">
      <c r="A2377" s="3" t="s">
        <v>1</v>
      </c>
      <c r="B2377" s="5">
        <v>8.0</v>
      </c>
      <c r="C2377" s="3" t="s">
        <v>2</v>
      </c>
      <c r="D2377" s="7"/>
      <c r="E2377" s="3" t="s">
        <v>3</v>
      </c>
      <c r="F2377" s="9"/>
    </row>
    <row r="2378" ht="13.5" customHeight="1">
      <c r="A2378" s="3" t="s">
        <v>4</v>
      </c>
      <c r="B2378" s="5" t="s">
        <v>30</v>
      </c>
      <c r="D2378" s="7"/>
      <c r="E2378" s="3" t="s">
        <v>6</v>
      </c>
      <c r="F2378" s="10">
        <v>0.15</v>
      </c>
    </row>
    <row r="2379" ht="13.5" customHeight="1">
      <c r="D2379" s="7"/>
      <c r="E2379" s="3" t="s">
        <v>8</v>
      </c>
      <c r="F2379" s="10">
        <v>0.2</v>
      </c>
    </row>
    <row r="2380" ht="13.5" customHeight="1">
      <c r="B2380" s="5" t="s">
        <v>532</v>
      </c>
      <c r="D2380" s="7"/>
      <c r="E2380" s="3" t="s">
        <v>10</v>
      </c>
      <c r="F2380" s="10">
        <v>0.19</v>
      </c>
    </row>
    <row r="2381" ht="13.5" customHeight="1">
      <c r="A2381" s="14" t="s">
        <v>11</v>
      </c>
      <c r="D2381" s="7"/>
      <c r="E2381" s="9"/>
      <c r="F2381" s="9"/>
    </row>
    <row r="2382" ht="13.5" customHeight="1">
      <c r="A2382" s="18" t="s">
        <v>15</v>
      </c>
      <c r="B2382" s="18" t="s">
        <v>17</v>
      </c>
      <c r="C2382" s="18" t="s">
        <v>18</v>
      </c>
      <c r="D2382" s="18" t="s">
        <v>19</v>
      </c>
      <c r="E2382" s="18" t="s">
        <v>20</v>
      </c>
      <c r="F2382" s="18" t="s">
        <v>21</v>
      </c>
    </row>
    <row r="2383" ht="13.5" customHeight="1">
      <c r="A2383" s="21" t="s">
        <v>22</v>
      </c>
      <c r="B2383" s="21" t="s">
        <v>524</v>
      </c>
      <c r="C2383" s="21" t="s">
        <v>30</v>
      </c>
      <c r="D2383" s="21">
        <v>1.0</v>
      </c>
      <c r="E2383" s="279">
        <v>75000.0</v>
      </c>
      <c r="F2383" s="33">
        <f t="shared" ref="F2383:F2388" si="118">ROUND(IFERROR(D2383*E2383,0),0)</f>
        <v>75000</v>
      </c>
    </row>
    <row r="2384" ht="13.5" customHeight="1">
      <c r="A2384" s="21" t="s">
        <v>27</v>
      </c>
      <c r="B2384" s="21" t="s">
        <v>525</v>
      </c>
      <c r="C2384" s="21" t="s">
        <v>30</v>
      </c>
      <c r="D2384" s="21">
        <v>1.0</v>
      </c>
      <c r="E2384" s="279">
        <v>12000.0</v>
      </c>
      <c r="F2384" s="33">
        <f t="shared" si="118"/>
        <v>12000</v>
      </c>
    </row>
    <row r="2385" ht="13.5" customHeight="1">
      <c r="A2385" s="21" t="s">
        <v>32</v>
      </c>
      <c r="B2385" s="21" t="s">
        <v>533</v>
      </c>
      <c r="C2385" s="21" t="s">
        <v>30</v>
      </c>
      <c r="D2385" s="21">
        <v>1.0</v>
      </c>
      <c r="E2385" s="279">
        <v>8000.0</v>
      </c>
      <c r="F2385" s="33">
        <f t="shared" si="118"/>
        <v>8000</v>
      </c>
    </row>
    <row r="2386" ht="13.5" customHeight="1">
      <c r="A2386" s="21" t="s">
        <v>99</v>
      </c>
      <c r="B2386" s="21" t="s">
        <v>526</v>
      </c>
      <c r="C2386" s="21" t="s">
        <v>96</v>
      </c>
      <c r="D2386" s="21">
        <v>0.2</v>
      </c>
      <c r="E2386" s="279">
        <v>3500.0</v>
      </c>
      <c r="F2386" s="33">
        <f t="shared" si="118"/>
        <v>700</v>
      </c>
    </row>
    <row r="2387" ht="13.5" customHeight="1">
      <c r="A2387" s="21" t="s">
        <v>101</v>
      </c>
      <c r="B2387" s="21" t="s">
        <v>527</v>
      </c>
      <c r="C2387" s="21" t="s">
        <v>528</v>
      </c>
      <c r="D2387" s="21">
        <v>0.2</v>
      </c>
      <c r="E2387" s="279">
        <v>4000.0</v>
      </c>
      <c r="F2387" s="33">
        <f t="shared" si="118"/>
        <v>800</v>
      </c>
    </row>
    <row r="2388" ht="13.5" customHeight="1">
      <c r="A2388" s="21" t="s">
        <v>107</v>
      </c>
      <c r="B2388" s="21" t="s">
        <v>534</v>
      </c>
      <c r="C2388" s="21" t="s">
        <v>530</v>
      </c>
      <c r="D2388" s="21">
        <v>1.0</v>
      </c>
      <c r="E2388" s="279">
        <v>15000.0</v>
      </c>
      <c r="F2388" s="33">
        <f t="shared" si="118"/>
        <v>15000</v>
      </c>
    </row>
    <row r="2389" ht="13.5" customHeight="1">
      <c r="A2389" s="21"/>
      <c r="B2389" s="21"/>
      <c r="C2389" s="21"/>
      <c r="D2389" s="21"/>
      <c r="E2389" s="279"/>
      <c r="F2389" s="33"/>
    </row>
    <row r="2390" ht="13.5" customHeight="1">
      <c r="A2390" s="21"/>
      <c r="B2390" s="21"/>
      <c r="C2390" s="21"/>
      <c r="D2390" s="21"/>
      <c r="E2390" s="279"/>
      <c r="F2390" s="33"/>
    </row>
    <row r="2391" ht="13.5" customHeight="1">
      <c r="D2391" s="7"/>
      <c r="E2391" s="14" t="s">
        <v>37</v>
      </c>
      <c r="F2391" s="46">
        <f>SUM(F2383:F2390)</f>
        <v>111500</v>
      </c>
    </row>
    <row r="2392" ht="13.5" customHeight="1">
      <c r="D2392" s="7"/>
      <c r="E2392" s="9"/>
      <c r="F2392" s="9"/>
    </row>
    <row r="2393" ht="13.5" customHeight="1">
      <c r="A2393" s="14" t="s">
        <v>44</v>
      </c>
      <c r="D2393" s="7"/>
      <c r="E2393" s="9"/>
      <c r="F2393" s="9"/>
    </row>
    <row r="2394" ht="13.5" customHeight="1">
      <c r="A2394" s="18" t="s">
        <v>15</v>
      </c>
      <c r="B2394" s="18" t="s">
        <v>17</v>
      </c>
      <c r="C2394" s="18" t="s">
        <v>18</v>
      </c>
      <c r="D2394" s="18" t="s">
        <v>19</v>
      </c>
      <c r="E2394" s="18" t="s">
        <v>20</v>
      </c>
      <c r="F2394" s="18" t="s">
        <v>21</v>
      </c>
    </row>
    <row r="2395" ht="13.5" customHeight="1">
      <c r="A2395" s="21" t="s">
        <v>22</v>
      </c>
      <c r="B2395" s="21" t="s">
        <v>345</v>
      </c>
      <c r="C2395" s="21" t="s">
        <v>51</v>
      </c>
      <c r="D2395" s="187">
        <f>ROUND(1/B2377,2)</f>
        <v>0.13</v>
      </c>
      <c r="E2395" s="21">
        <v>65000.0</v>
      </c>
      <c r="F2395" s="33">
        <f t="shared" ref="F2395:F2396" si="119">ROUND(IFERROR(D2395*E2395,0),0)</f>
        <v>8450</v>
      </c>
    </row>
    <row r="2396" ht="13.5" customHeight="1">
      <c r="A2396" s="21" t="s">
        <v>27</v>
      </c>
      <c r="B2396" s="21" t="s">
        <v>54</v>
      </c>
      <c r="C2396" s="21" t="s">
        <v>51</v>
      </c>
      <c r="D2396" s="187">
        <f>ROUND(1/B2377,2)</f>
        <v>0.13</v>
      </c>
      <c r="E2396" s="21">
        <v>50000.0</v>
      </c>
      <c r="F2396" s="33">
        <f t="shared" si="119"/>
        <v>6500</v>
      </c>
    </row>
    <row r="2397" ht="13.5" customHeight="1">
      <c r="D2397" s="7"/>
      <c r="E2397" s="14" t="s">
        <v>37</v>
      </c>
      <c r="F2397" s="46">
        <f>SUM(F2395:F2396)</f>
        <v>14950</v>
      </c>
    </row>
    <row r="2398" ht="13.5" customHeight="1">
      <c r="D2398" s="7"/>
      <c r="E2398" s="14" t="s">
        <v>59</v>
      </c>
      <c r="F2398" s="46">
        <f>ROUND(F2397*0.5,0)</f>
        <v>7475</v>
      </c>
    </row>
    <row r="2399" ht="13.5" customHeight="1">
      <c r="D2399" s="7"/>
      <c r="E2399" s="14" t="s">
        <v>60</v>
      </c>
      <c r="F2399" s="46">
        <f>F2397+F2398</f>
        <v>22425</v>
      </c>
    </row>
    <row r="2400" ht="13.5" customHeight="1">
      <c r="D2400" s="7"/>
      <c r="E2400" s="9"/>
      <c r="F2400" s="9"/>
    </row>
    <row r="2401" ht="13.5" customHeight="1">
      <c r="A2401" s="14" t="s">
        <v>62</v>
      </c>
      <c r="D2401" s="7"/>
      <c r="E2401" s="9"/>
      <c r="F2401" s="9"/>
    </row>
    <row r="2402" ht="13.5" customHeight="1">
      <c r="A2402" s="18" t="s">
        <v>15</v>
      </c>
      <c r="B2402" s="18" t="s">
        <v>17</v>
      </c>
      <c r="C2402" s="18" t="s">
        <v>18</v>
      </c>
      <c r="D2402" s="18" t="s">
        <v>19</v>
      </c>
      <c r="E2402" s="18" t="s">
        <v>20</v>
      </c>
      <c r="F2402" s="18" t="s">
        <v>21</v>
      </c>
    </row>
    <row r="2403" ht="13.5" customHeight="1">
      <c r="A2403" s="21" t="s">
        <v>22</v>
      </c>
      <c r="B2403" s="21" t="s">
        <v>394</v>
      </c>
      <c r="C2403" s="21" t="s">
        <v>51</v>
      </c>
      <c r="D2403" s="144">
        <f>ROUND(1/B2377,2)</f>
        <v>0.13</v>
      </c>
      <c r="E2403" s="21">
        <v>45000.0</v>
      </c>
      <c r="F2403" s="33">
        <f>ROUND(IFERROR(D2403*E2403,0),0)</f>
        <v>5850</v>
      </c>
    </row>
    <row r="2404" ht="13.5" customHeight="1">
      <c r="A2404" s="21"/>
      <c r="B2404" s="21"/>
      <c r="C2404" s="21"/>
      <c r="D2404" s="144"/>
      <c r="E2404" s="21"/>
      <c r="F2404" s="33"/>
    </row>
    <row r="2405" ht="13.5" customHeight="1">
      <c r="D2405" s="7"/>
      <c r="E2405" s="14" t="s">
        <v>37</v>
      </c>
      <c r="F2405" s="46">
        <f>SUM(F2403:F2404)</f>
        <v>5850</v>
      </c>
    </row>
    <row r="2406" ht="13.5" customHeight="1">
      <c r="D2406" s="7"/>
      <c r="E2406" s="9"/>
      <c r="F2406" s="9"/>
    </row>
    <row r="2407" ht="13.5" customHeight="1">
      <c r="A2407" s="14" t="s">
        <v>74</v>
      </c>
      <c r="D2407" s="7"/>
      <c r="E2407" s="9"/>
      <c r="F2407" s="9"/>
    </row>
    <row r="2408" ht="13.5" customHeight="1">
      <c r="A2408" s="18"/>
      <c r="B2408" s="18" t="s">
        <v>17</v>
      </c>
      <c r="C2408" s="18" t="s">
        <v>18</v>
      </c>
      <c r="D2408" s="18" t="s">
        <v>19</v>
      </c>
      <c r="E2408" s="18" t="s">
        <v>20</v>
      </c>
      <c r="F2408" s="18" t="s">
        <v>21</v>
      </c>
    </row>
    <row r="2409" ht="13.5" customHeight="1">
      <c r="D2409" s="7"/>
      <c r="E2409" s="14" t="s">
        <v>77</v>
      </c>
      <c r="F2409" s="46">
        <f>F2391+F2399+F2405</f>
        <v>139775</v>
      </c>
    </row>
    <row r="2410" ht="13.5" customHeight="1">
      <c r="D2410" s="7"/>
      <c r="E2410" s="14" t="s">
        <v>6</v>
      </c>
      <c r="F2410" s="46">
        <f>ROUND(F2409*F2378,0)</f>
        <v>20966</v>
      </c>
    </row>
    <row r="2411" ht="13.5" customHeight="1">
      <c r="D2411" s="7"/>
      <c r="E2411" s="14" t="s">
        <v>8</v>
      </c>
      <c r="F2411" s="46">
        <f>ROUND(F2409*F2379,0)</f>
        <v>27955</v>
      </c>
    </row>
    <row r="2412" ht="13.5" customHeight="1">
      <c r="D2412" s="7"/>
      <c r="E2412" s="14" t="s">
        <v>81</v>
      </c>
      <c r="F2412" s="46">
        <f>F2409+F2410+F2411</f>
        <v>188696</v>
      </c>
    </row>
    <row r="2413" ht="13.5" customHeight="1">
      <c r="D2413" s="7"/>
      <c r="E2413" s="14" t="s">
        <v>82</v>
      </c>
      <c r="F2413" s="46">
        <f>ROUND(F2412*F2380,0)</f>
        <v>35852</v>
      </c>
    </row>
    <row r="2414" ht="13.5" customHeight="1">
      <c r="D2414" s="14" t="s">
        <v>425</v>
      </c>
      <c r="E2414" s="18" t="s">
        <v>84</v>
      </c>
      <c r="F2414" s="53">
        <f>F2412+F2413</f>
        <v>224548</v>
      </c>
    </row>
    <row r="2415" ht="13.5" customHeight="1"/>
    <row r="2416" ht="13.5" customHeight="1"/>
    <row r="2417" ht="13.5" customHeight="1"/>
    <row r="2418" ht="13.5" customHeight="1"/>
    <row r="2419" ht="13.5" customHeight="1"/>
    <row r="2420" ht="13.5" customHeight="1"/>
    <row r="2421" ht="13.5" customHeight="1">
      <c r="A2421" s="3" t="s">
        <v>1</v>
      </c>
      <c r="B2421" s="5">
        <v>4.0</v>
      </c>
      <c r="C2421" s="3" t="s">
        <v>2</v>
      </c>
      <c r="D2421" s="7"/>
      <c r="E2421" s="3" t="s">
        <v>3</v>
      </c>
      <c r="F2421" s="9"/>
    </row>
    <row r="2422" ht="13.5" customHeight="1">
      <c r="A2422" s="3" t="s">
        <v>4</v>
      </c>
      <c r="B2422" s="5" t="s">
        <v>30</v>
      </c>
      <c r="D2422" s="7"/>
      <c r="E2422" s="3" t="s">
        <v>6</v>
      </c>
      <c r="F2422" s="10">
        <v>0.15</v>
      </c>
    </row>
    <row r="2423" ht="13.5" customHeight="1">
      <c r="D2423" s="7"/>
      <c r="E2423" s="3" t="s">
        <v>8</v>
      </c>
      <c r="F2423" s="10">
        <v>0.2</v>
      </c>
    </row>
    <row r="2424" ht="13.5" customHeight="1">
      <c r="B2424" s="5" t="s">
        <v>535</v>
      </c>
      <c r="D2424" s="7"/>
      <c r="E2424" s="3" t="s">
        <v>10</v>
      </c>
      <c r="F2424" s="10">
        <v>0.19</v>
      </c>
    </row>
    <row r="2425" ht="13.5" customHeight="1">
      <c r="A2425" s="14" t="s">
        <v>11</v>
      </c>
      <c r="D2425" s="7"/>
      <c r="E2425" s="9"/>
      <c r="F2425" s="9"/>
    </row>
    <row r="2426" ht="13.5" customHeight="1">
      <c r="A2426" s="18" t="s">
        <v>15</v>
      </c>
      <c r="B2426" s="18" t="s">
        <v>17</v>
      </c>
      <c r="C2426" s="18" t="s">
        <v>18</v>
      </c>
      <c r="D2426" s="18" t="s">
        <v>19</v>
      </c>
      <c r="E2426" s="18" t="s">
        <v>20</v>
      </c>
      <c r="F2426" s="18" t="s">
        <v>21</v>
      </c>
    </row>
    <row r="2427" ht="13.5" customHeight="1">
      <c r="A2427" s="21" t="s">
        <v>22</v>
      </c>
      <c r="B2427" s="21" t="s">
        <v>524</v>
      </c>
      <c r="C2427" s="21" t="s">
        <v>30</v>
      </c>
      <c r="D2427" s="21">
        <v>1.0</v>
      </c>
      <c r="E2427" s="279">
        <v>75000.0</v>
      </c>
      <c r="F2427" s="33">
        <f t="shared" ref="F2427:F2431" si="120">ROUND(IFERROR(D2427*E2427,0),0)</f>
        <v>75000</v>
      </c>
    </row>
    <row r="2428" ht="13.5" customHeight="1">
      <c r="A2428" s="21" t="s">
        <v>27</v>
      </c>
      <c r="B2428" s="21" t="s">
        <v>525</v>
      </c>
      <c r="C2428" s="21" t="s">
        <v>30</v>
      </c>
      <c r="D2428" s="21">
        <v>1.0</v>
      </c>
      <c r="E2428" s="279">
        <v>12000.0</v>
      </c>
      <c r="F2428" s="33">
        <f t="shared" si="120"/>
        <v>12000</v>
      </c>
    </row>
    <row r="2429" ht="13.5" customHeight="1">
      <c r="A2429" s="21" t="s">
        <v>32</v>
      </c>
      <c r="B2429" s="21" t="s">
        <v>526</v>
      </c>
      <c r="C2429" s="21" t="s">
        <v>30</v>
      </c>
      <c r="D2429" s="21">
        <v>0.2</v>
      </c>
      <c r="E2429" s="279">
        <v>3500.0</v>
      </c>
      <c r="F2429" s="33">
        <f t="shared" si="120"/>
        <v>700</v>
      </c>
    </row>
    <row r="2430" ht="13.5" customHeight="1">
      <c r="A2430" s="21" t="s">
        <v>99</v>
      </c>
      <c r="B2430" s="21" t="s">
        <v>527</v>
      </c>
      <c r="C2430" s="21" t="s">
        <v>96</v>
      </c>
      <c r="D2430" s="21">
        <v>0.2</v>
      </c>
      <c r="E2430" s="279">
        <v>4000.0</v>
      </c>
      <c r="F2430" s="33">
        <f t="shared" si="120"/>
        <v>800</v>
      </c>
    </row>
    <row r="2431" ht="13.5" customHeight="1">
      <c r="A2431" s="21" t="s">
        <v>101</v>
      </c>
      <c r="B2431" s="21" t="s">
        <v>534</v>
      </c>
      <c r="C2431" s="21" t="s">
        <v>528</v>
      </c>
      <c r="D2431" s="21">
        <v>1.0</v>
      </c>
      <c r="E2431" s="279">
        <v>15000.0</v>
      </c>
      <c r="F2431" s="33">
        <f t="shared" si="120"/>
        <v>15000</v>
      </c>
    </row>
    <row r="2432" ht="13.5" customHeight="1">
      <c r="A2432" s="21" t="s">
        <v>107</v>
      </c>
      <c r="B2432" s="21"/>
      <c r="C2432" s="21"/>
      <c r="D2432" s="21"/>
      <c r="E2432" s="279"/>
      <c r="F2432" s="33"/>
    </row>
    <row r="2433" ht="13.5" customHeight="1">
      <c r="A2433" s="21"/>
      <c r="B2433" s="21"/>
      <c r="C2433" s="21"/>
      <c r="D2433" s="21"/>
      <c r="E2433" s="279"/>
      <c r="F2433" s="33"/>
    </row>
    <row r="2434" ht="13.5" customHeight="1">
      <c r="A2434" s="21"/>
      <c r="B2434" s="21"/>
      <c r="C2434" s="21"/>
      <c r="D2434" s="21"/>
      <c r="E2434" s="279"/>
      <c r="F2434" s="33"/>
    </row>
    <row r="2435" ht="13.5" customHeight="1">
      <c r="D2435" s="7"/>
      <c r="E2435" s="14" t="s">
        <v>37</v>
      </c>
      <c r="F2435" s="46">
        <f>SUM(F2427:F2434)</f>
        <v>103500</v>
      </c>
    </row>
    <row r="2436" ht="13.5" customHeight="1">
      <c r="D2436" s="7"/>
      <c r="E2436" s="9"/>
      <c r="F2436" s="9"/>
    </row>
    <row r="2437" ht="13.5" customHeight="1">
      <c r="A2437" s="14" t="s">
        <v>44</v>
      </c>
      <c r="D2437" s="7"/>
      <c r="E2437" s="9"/>
      <c r="F2437" s="9"/>
    </row>
    <row r="2438" ht="13.5" customHeight="1">
      <c r="A2438" s="18" t="s">
        <v>15</v>
      </c>
      <c r="B2438" s="18" t="s">
        <v>17</v>
      </c>
      <c r="C2438" s="18" t="s">
        <v>18</v>
      </c>
      <c r="D2438" s="18" t="s">
        <v>19</v>
      </c>
      <c r="E2438" s="18" t="s">
        <v>20</v>
      </c>
      <c r="F2438" s="18" t="s">
        <v>21</v>
      </c>
    </row>
    <row r="2439" ht="13.5" customHeight="1">
      <c r="A2439" s="21" t="s">
        <v>22</v>
      </c>
      <c r="B2439" s="21" t="s">
        <v>345</v>
      </c>
      <c r="C2439" s="21" t="s">
        <v>51</v>
      </c>
      <c r="D2439" s="187">
        <f>ROUND(1/B2421,2)</f>
        <v>0.25</v>
      </c>
      <c r="E2439" s="21">
        <v>65000.0</v>
      </c>
      <c r="F2439" s="33">
        <f t="shared" ref="F2439:F2440" si="121">ROUND(IFERROR(D2439*E2439,0),0)</f>
        <v>16250</v>
      </c>
    </row>
    <row r="2440" ht="13.5" customHeight="1">
      <c r="A2440" s="21" t="s">
        <v>27</v>
      </c>
      <c r="B2440" s="21" t="s">
        <v>54</v>
      </c>
      <c r="C2440" s="21" t="s">
        <v>51</v>
      </c>
      <c r="D2440" s="187">
        <f>ROUND(1/B2421,2)</f>
        <v>0.25</v>
      </c>
      <c r="E2440" s="21">
        <v>50000.0</v>
      </c>
      <c r="F2440" s="33">
        <f t="shared" si="121"/>
        <v>12500</v>
      </c>
    </row>
    <row r="2441" ht="13.5" customHeight="1">
      <c r="D2441" s="7"/>
      <c r="E2441" s="14" t="s">
        <v>37</v>
      </c>
      <c r="F2441" s="46">
        <f>SUM(F2439:F2440)</f>
        <v>28750</v>
      </c>
    </row>
    <row r="2442" ht="13.5" customHeight="1">
      <c r="D2442" s="7"/>
      <c r="E2442" s="14" t="s">
        <v>59</v>
      </c>
      <c r="F2442" s="46">
        <f>ROUND(F2441*0.5,0)</f>
        <v>14375</v>
      </c>
    </row>
    <row r="2443" ht="13.5" customHeight="1">
      <c r="D2443" s="7"/>
      <c r="E2443" s="14" t="s">
        <v>60</v>
      </c>
      <c r="F2443" s="46">
        <f>F2441+F2442</f>
        <v>43125</v>
      </c>
    </row>
    <row r="2444" ht="13.5" customHeight="1">
      <c r="D2444" s="7"/>
      <c r="E2444" s="9"/>
      <c r="F2444" s="9"/>
    </row>
    <row r="2445" ht="13.5" customHeight="1">
      <c r="A2445" s="14" t="s">
        <v>62</v>
      </c>
      <c r="D2445" s="7"/>
      <c r="E2445" s="9"/>
      <c r="F2445" s="9"/>
    </row>
    <row r="2446" ht="13.5" customHeight="1">
      <c r="A2446" s="18" t="s">
        <v>15</v>
      </c>
      <c r="B2446" s="18" t="s">
        <v>17</v>
      </c>
      <c r="C2446" s="18" t="s">
        <v>18</v>
      </c>
      <c r="D2446" s="18" t="s">
        <v>19</v>
      </c>
      <c r="E2446" s="18" t="s">
        <v>20</v>
      </c>
      <c r="F2446" s="18" t="s">
        <v>21</v>
      </c>
    </row>
    <row r="2447" ht="13.5" customHeight="1">
      <c r="A2447" s="21" t="s">
        <v>22</v>
      </c>
      <c r="B2447" s="21" t="s">
        <v>394</v>
      </c>
      <c r="C2447" s="21" t="s">
        <v>51</v>
      </c>
      <c r="D2447" s="144">
        <f>ROUND(1/B2421,2)</f>
        <v>0.25</v>
      </c>
      <c r="E2447" s="21">
        <v>45000.0</v>
      </c>
      <c r="F2447" s="33">
        <f>ROUND(IFERROR(D2447*E2447,0),0)</f>
        <v>11250</v>
      </c>
    </row>
    <row r="2448" ht="13.5" customHeight="1">
      <c r="A2448" s="21"/>
      <c r="B2448" s="21"/>
      <c r="C2448" s="21"/>
      <c r="D2448" s="144"/>
      <c r="E2448" s="21"/>
      <c r="F2448" s="33"/>
    </row>
    <row r="2449" ht="13.5" customHeight="1">
      <c r="D2449" s="7"/>
      <c r="E2449" s="14" t="s">
        <v>37</v>
      </c>
      <c r="F2449" s="46">
        <f>SUM(F2447:F2448)</f>
        <v>11250</v>
      </c>
    </row>
    <row r="2450" ht="13.5" customHeight="1">
      <c r="D2450" s="7"/>
      <c r="E2450" s="9"/>
      <c r="F2450" s="48"/>
    </row>
    <row r="2451" ht="13.5" customHeight="1">
      <c r="A2451" s="14" t="s">
        <v>74</v>
      </c>
      <c r="D2451" s="7"/>
      <c r="E2451" s="9"/>
      <c r="F2451" s="9"/>
    </row>
    <row r="2452" ht="13.5" customHeight="1">
      <c r="A2452" s="18"/>
      <c r="B2452" s="18" t="s">
        <v>17</v>
      </c>
      <c r="C2452" s="18" t="s">
        <v>18</v>
      </c>
      <c r="D2452" s="18" t="s">
        <v>19</v>
      </c>
      <c r="E2452" s="18" t="s">
        <v>20</v>
      </c>
      <c r="F2452" s="18" t="s">
        <v>21</v>
      </c>
    </row>
    <row r="2453" ht="13.5" customHeight="1">
      <c r="D2453" s="7"/>
      <c r="E2453" s="14" t="s">
        <v>77</v>
      </c>
      <c r="F2453" s="46">
        <f>F2435+F2443+F2449</f>
        <v>157875</v>
      </c>
    </row>
    <row r="2454" ht="13.5" customHeight="1">
      <c r="D2454" s="7"/>
      <c r="E2454" s="14" t="s">
        <v>6</v>
      </c>
      <c r="F2454" s="46">
        <f>ROUND(F2453*F2422,0)</f>
        <v>23681</v>
      </c>
    </row>
    <row r="2455" ht="13.5" customHeight="1">
      <c r="D2455" s="7"/>
      <c r="E2455" s="14" t="s">
        <v>8</v>
      </c>
      <c r="F2455" s="46">
        <f>ROUND(F2453*F2423,0)</f>
        <v>31575</v>
      </c>
    </row>
    <row r="2456" ht="13.5" customHeight="1">
      <c r="D2456" s="7"/>
      <c r="E2456" s="14" t="s">
        <v>81</v>
      </c>
      <c r="F2456" s="46">
        <f>F2453+F2454+F2455</f>
        <v>213131</v>
      </c>
    </row>
    <row r="2457" ht="13.5" customHeight="1">
      <c r="D2457" s="7"/>
      <c r="E2457" s="14" t="s">
        <v>82</v>
      </c>
      <c r="F2457" s="46">
        <f>ROUND(F2456*F2424,0)</f>
        <v>40495</v>
      </c>
    </row>
    <row r="2458" ht="13.5" customHeight="1">
      <c r="D2458" s="14" t="s">
        <v>425</v>
      </c>
      <c r="E2458" s="18" t="s">
        <v>84</v>
      </c>
      <c r="F2458" s="53">
        <f>F2456+F2457</f>
        <v>253626</v>
      </c>
    </row>
    <row r="2459" ht="13.5" customHeight="1"/>
    <row r="2460" ht="13.5" customHeight="1"/>
    <row r="2461" ht="13.5" customHeight="1"/>
    <row r="2462" ht="13.5" customHeight="1"/>
    <row r="2463" ht="13.5" customHeight="1"/>
    <row r="2464" ht="13.5" customHeight="1"/>
    <row r="2465" ht="13.5" customHeight="1">
      <c r="A2465" s="3" t="s">
        <v>1</v>
      </c>
      <c r="B2465" s="5">
        <v>2.0</v>
      </c>
      <c r="C2465" s="3" t="s">
        <v>2</v>
      </c>
      <c r="D2465" s="7"/>
      <c r="E2465" s="3" t="s">
        <v>3</v>
      </c>
      <c r="F2465" s="9"/>
    </row>
    <row r="2466" ht="13.5" customHeight="1">
      <c r="A2466" s="3" t="s">
        <v>4</v>
      </c>
      <c r="B2466" s="5" t="s">
        <v>30</v>
      </c>
      <c r="D2466" s="7"/>
      <c r="E2466" s="3" t="s">
        <v>6</v>
      </c>
      <c r="F2466" s="10">
        <v>0.15</v>
      </c>
    </row>
    <row r="2467" ht="13.5" customHeight="1">
      <c r="D2467" s="7"/>
      <c r="E2467" s="3" t="s">
        <v>8</v>
      </c>
      <c r="F2467" s="10">
        <v>0.2</v>
      </c>
    </row>
    <row r="2468" ht="13.5" customHeight="1">
      <c r="B2468" s="5" t="s">
        <v>536</v>
      </c>
      <c r="D2468" s="7"/>
      <c r="E2468" s="3" t="s">
        <v>10</v>
      </c>
      <c r="F2468" s="10">
        <v>0.19</v>
      </c>
    </row>
    <row r="2469" ht="13.5" customHeight="1">
      <c r="A2469" s="14" t="s">
        <v>11</v>
      </c>
      <c r="D2469" s="7"/>
      <c r="E2469" s="9"/>
      <c r="F2469" s="9"/>
    </row>
    <row r="2470" ht="13.5" customHeight="1">
      <c r="A2470" s="18" t="s">
        <v>15</v>
      </c>
      <c r="B2470" s="18" t="s">
        <v>17</v>
      </c>
      <c r="C2470" s="18" t="s">
        <v>18</v>
      </c>
      <c r="D2470" s="18" t="s">
        <v>19</v>
      </c>
      <c r="E2470" s="18" t="s">
        <v>20</v>
      </c>
      <c r="F2470" s="18" t="s">
        <v>21</v>
      </c>
    </row>
    <row r="2471" ht="13.5" customHeight="1">
      <c r="A2471" s="21" t="s">
        <v>22</v>
      </c>
      <c r="B2471" s="21" t="s">
        <v>537</v>
      </c>
      <c r="C2471" s="21" t="s">
        <v>538</v>
      </c>
      <c r="D2471" s="21">
        <v>1.0</v>
      </c>
      <c r="E2471" s="279">
        <v>180000.0</v>
      </c>
      <c r="F2471" s="33">
        <f t="shared" ref="F2471:F2477" si="122">ROUND(IFERROR(D2471*E2471,0),0)</f>
        <v>180000</v>
      </c>
    </row>
    <row r="2472" ht="13.5" customHeight="1">
      <c r="A2472" s="21" t="s">
        <v>27</v>
      </c>
      <c r="B2472" s="21" t="s">
        <v>539</v>
      </c>
      <c r="C2472" s="21" t="s">
        <v>5</v>
      </c>
      <c r="D2472" s="21">
        <v>2.0</v>
      </c>
      <c r="E2472" s="279">
        <v>40000.0</v>
      </c>
      <c r="F2472" s="33">
        <f t="shared" si="122"/>
        <v>80000</v>
      </c>
    </row>
    <row r="2473" ht="13.5" customHeight="1">
      <c r="A2473" s="21" t="s">
        <v>32</v>
      </c>
      <c r="B2473" s="21" t="s">
        <v>540</v>
      </c>
      <c r="C2473" s="21" t="s">
        <v>5</v>
      </c>
      <c r="D2473" s="21">
        <v>4.0</v>
      </c>
      <c r="E2473" s="279">
        <v>25000.0</v>
      </c>
      <c r="F2473" s="33">
        <f t="shared" si="122"/>
        <v>100000</v>
      </c>
    </row>
    <row r="2474" ht="13.5" customHeight="1">
      <c r="A2474" s="21" t="s">
        <v>99</v>
      </c>
      <c r="B2474" s="21" t="s">
        <v>541</v>
      </c>
      <c r="C2474" s="21" t="s">
        <v>96</v>
      </c>
      <c r="D2474" s="21">
        <v>0.3</v>
      </c>
      <c r="E2474" s="279">
        <v>4000.0</v>
      </c>
      <c r="F2474" s="33">
        <f t="shared" si="122"/>
        <v>1200</v>
      </c>
    </row>
    <row r="2475" ht="13.5" customHeight="1">
      <c r="A2475" s="21" t="s">
        <v>101</v>
      </c>
      <c r="B2475" s="21" t="s">
        <v>542</v>
      </c>
      <c r="C2475" s="21" t="s">
        <v>538</v>
      </c>
      <c r="D2475" s="21">
        <v>1.0</v>
      </c>
      <c r="E2475" s="279">
        <v>70000.0</v>
      </c>
      <c r="F2475" s="33">
        <f t="shared" si="122"/>
        <v>70000</v>
      </c>
    </row>
    <row r="2476" ht="13.5" customHeight="1">
      <c r="A2476" s="21" t="s">
        <v>107</v>
      </c>
      <c r="B2476" s="21" t="s">
        <v>543</v>
      </c>
      <c r="C2476" s="21" t="s">
        <v>530</v>
      </c>
      <c r="D2476" s="21">
        <v>1.0</v>
      </c>
      <c r="E2476" s="279">
        <v>35000.0</v>
      </c>
      <c r="F2476" s="33">
        <f t="shared" si="122"/>
        <v>35000</v>
      </c>
    </row>
    <row r="2477" ht="13.5" customHeight="1">
      <c r="A2477" s="21" t="s">
        <v>544</v>
      </c>
      <c r="B2477" s="21" t="s">
        <v>545</v>
      </c>
      <c r="C2477" s="21" t="s">
        <v>530</v>
      </c>
      <c r="D2477" s="21">
        <v>1.0</v>
      </c>
      <c r="E2477" s="279">
        <v>10000.0</v>
      </c>
      <c r="F2477" s="33">
        <f t="shared" si="122"/>
        <v>10000</v>
      </c>
    </row>
    <row r="2478" ht="13.5" customHeight="1">
      <c r="A2478" s="21"/>
      <c r="B2478" s="21"/>
      <c r="C2478" s="21"/>
      <c r="D2478" s="21"/>
      <c r="E2478" s="279"/>
      <c r="F2478" s="33"/>
    </row>
    <row r="2479" ht="13.5" customHeight="1">
      <c r="D2479" s="7"/>
      <c r="E2479" s="14" t="s">
        <v>37</v>
      </c>
      <c r="F2479" s="46">
        <f>SUM(F2471:F2478)</f>
        <v>476200</v>
      </c>
    </row>
    <row r="2480" ht="13.5" customHeight="1">
      <c r="D2480" s="7"/>
      <c r="E2480" s="9"/>
      <c r="F2480" s="9"/>
    </row>
    <row r="2481" ht="13.5" customHeight="1">
      <c r="A2481" s="14" t="s">
        <v>44</v>
      </c>
      <c r="D2481" s="7"/>
      <c r="E2481" s="9"/>
      <c r="F2481" s="9"/>
    </row>
    <row r="2482" ht="13.5" customHeight="1">
      <c r="A2482" s="18" t="s">
        <v>15</v>
      </c>
      <c r="B2482" s="18" t="s">
        <v>17</v>
      </c>
      <c r="C2482" s="18" t="s">
        <v>18</v>
      </c>
      <c r="D2482" s="18" t="s">
        <v>19</v>
      </c>
      <c r="E2482" s="18" t="s">
        <v>20</v>
      </c>
      <c r="F2482" s="18" t="s">
        <v>21</v>
      </c>
    </row>
    <row r="2483" ht="13.5" customHeight="1">
      <c r="A2483" s="21" t="s">
        <v>22</v>
      </c>
      <c r="B2483" s="21" t="s">
        <v>345</v>
      </c>
      <c r="C2483" s="21" t="s">
        <v>51</v>
      </c>
      <c r="D2483" s="187">
        <f>1/B2465</f>
        <v>0.5</v>
      </c>
      <c r="E2483" s="21">
        <v>65000.0</v>
      </c>
      <c r="F2483" s="33">
        <f t="shared" ref="F2483:F2484" si="123">ROUND(IFERROR(D2483*E2483,0),0)</f>
        <v>32500</v>
      </c>
    </row>
    <row r="2484" ht="13.5" customHeight="1">
      <c r="A2484" s="21" t="s">
        <v>27</v>
      </c>
      <c r="B2484" s="21" t="s">
        <v>54</v>
      </c>
      <c r="C2484" s="21" t="s">
        <v>51</v>
      </c>
      <c r="D2484" s="187">
        <f>1/B2465</f>
        <v>0.5</v>
      </c>
      <c r="E2484" s="21">
        <v>50000.0</v>
      </c>
      <c r="F2484" s="33">
        <f t="shared" si="123"/>
        <v>25000</v>
      </c>
    </row>
    <row r="2485" ht="13.5" customHeight="1">
      <c r="D2485" s="7"/>
      <c r="E2485" s="14" t="s">
        <v>37</v>
      </c>
      <c r="F2485" s="46">
        <f>SUM(F2483:F2484)</f>
        <v>57500</v>
      </c>
    </row>
    <row r="2486" ht="13.5" customHeight="1">
      <c r="D2486" s="7"/>
      <c r="E2486" s="14" t="s">
        <v>59</v>
      </c>
      <c r="F2486" s="46">
        <f>ROUND(F2485*0.5,0)</f>
        <v>28750</v>
      </c>
    </row>
    <row r="2487" ht="13.5" customHeight="1">
      <c r="D2487" s="7"/>
      <c r="E2487" s="14" t="s">
        <v>60</v>
      </c>
      <c r="F2487" s="46">
        <f>F2485+F2486</f>
        <v>86250</v>
      </c>
    </row>
    <row r="2488" ht="13.5" customHeight="1">
      <c r="D2488" s="7"/>
      <c r="E2488" s="9"/>
      <c r="F2488" s="9"/>
    </row>
    <row r="2489" ht="13.5" customHeight="1">
      <c r="A2489" s="14" t="s">
        <v>62</v>
      </c>
      <c r="D2489" s="7"/>
      <c r="E2489" s="9"/>
      <c r="F2489" s="9"/>
    </row>
    <row r="2490" ht="13.5" customHeight="1">
      <c r="A2490" s="18" t="s">
        <v>15</v>
      </c>
      <c r="B2490" s="18" t="s">
        <v>17</v>
      </c>
      <c r="C2490" s="18" t="s">
        <v>18</v>
      </c>
      <c r="D2490" s="18" t="s">
        <v>19</v>
      </c>
      <c r="E2490" s="18" t="s">
        <v>20</v>
      </c>
      <c r="F2490" s="18" t="s">
        <v>21</v>
      </c>
    </row>
    <row r="2491" ht="13.5" customHeight="1">
      <c r="A2491" s="21" t="s">
        <v>22</v>
      </c>
      <c r="B2491" s="21" t="s">
        <v>394</v>
      </c>
      <c r="C2491" s="21" t="s">
        <v>51</v>
      </c>
      <c r="D2491" s="144">
        <f>1/B2465</f>
        <v>0.5</v>
      </c>
      <c r="E2491" s="21">
        <v>45000.0</v>
      </c>
      <c r="F2491" s="33">
        <f>ROUND(IFERROR(D2491*E2491,0),0)</f>
        <v>22500</v>
      </c>
    </row>
    <row r="2492" ht="13.5" customHeight="1">
      <c r="A2492" s="21"/>
      <c r="B2492" s="21"/>
      <c r="C2492" s="21"/>
      <c r="D2492" s="144"/>
      <c r="E2492" s="21"/>
      <c r="F2492" s="33"/>
    </row>
    <row r="2493" ht="13.5" customHeight="1">
      <c r="D2493" s="7"/>
      <c r="E2493" s="14" t="s">
        <v>37</v>
      </c>
      <c r="F2493" s="46">
        <f>SUM(F2491:F2492)</f>
        <v>22500</v>
      </c>
    </row>
    <row r="2494" ht="13.5" customHeight="1">
      <c r="D2494" s="7"/>
      <c r="E2494" s="9"/>
      <c r="F2494" s="48"/>
    </row>
    <row r="2495" ht="13.5" customHeight="1">
      <c r="A2495" s="14" t="s">
        <v>74</v>
      </c>
      <c r="D2495" s="7"/>
      <c r="E2495" s="9"/>
      <c r="F2495" s="9"/>
    </row>
    <row r="2496" ht="13.5" customHeight="1">
      <c r="A2496" s="18"/>
      <c r="B2496" s="18" t="s">
        <v>17</v>
      </c>
      <c r="C2496" s="18" t="s">
        <v>18</v>
      </c>
      <c r="D2496" s="18" t="s">
        <v>19</v>
      </c>
      <c r="E2496" s="18" t="s">
        <v>20</v>
      </c>
      <c r="F2496" s="18" t="s">
        <v>21</v>
      </c>
    </row>
    <row r="2497" ht="13.5" customHeight="1">
      <c r="D2497" s="7"/>
      <c r="E2497" s="14" t="s">
        <v>77</v>
      </c>
      <c r="F2497" s="46">
        <f>F2479+F2487+F2493</f>
        <v>584950</v>
      </c>
    </row>
    <row r="2498" ht="13.5" customHeight="1">
      <c r="D2498" s="7"/>
      <c r="E2498" s="14" t="s">
        <v>6</v>
      </c>
      <c r="F2498" s="46">
        <f>ROUND(F2497*F2466,0)</f>
        <v>87743</v>
      </c>
    </row>
    <row r="2499" ht="13.5" customHeight="1">
      <c r="D2499" s="7"/>
      <c r="E2499" s="14" t="s">
        <v>8</v>
      </c>
      <c r="F2499" s="46">
        <f>ROUND(F2497*F2467,0)</f>
        <v>116990</v>
      </c>
    </row>
    <row r="2500" ht="13.5" customHeight="1">
      <c r="D2500" s="7"/>
      <c r="E2500" s="14" t="s">
        <v>81</v>
      </c>
      <c r="F2500" s="46">
        <f>F2497+F2498+F2499</f>
        <v>789683</v>
      </c>
    </row>
    <row r="2501" ht="13.5" customHeight="1">
      <c r="D2501" s="7"/>
      <c r="E2501" s="14" t="s">
        <v>82</v>
      </c>
      <c r="F2501" s="46">
        <f>ROUND(F2500*F2468,0)</f>
        <v>150040</v>
      </c>
    </row>
    <row r="2502" ht="13.5" customHeight="1">
      <c r="D2502" s="14" t="s">
        <v>425</v>
      </c>
      <c r="E2502" s="18" t="s">
        <v>84</v>
      </c>
      <c r="F2502" s="53">
        <f>F2500+F2501</f>
        <v>939723</v>
      </c>
    </row>
    <row r="2503" ht="13.5" customHeight="1"/>
    <row r="2504" ht="13.5" customHeight="1"/>
    <row r="2505" ht="13.5" customHeight="1"/>
    <row r="2506" ht="13.5" customHeight="1"/>
    <row r="2507" ht="13.5" customHeight="1"/>
    <row r="2508" ht="13.5" customHeight="1"/>
    <row r="2509" ht="13.5" customHeight="1">
      <c r="A2509" s="3" t="s">
        <v>1</v>
      </c>
      <c r="B2509" s="5">
        <v>4.0</v>
      </c>
      <c r="C2509" s="3" t="s">
        <v>2</v>
      </c>
      <c r="D2509" s="7"/>
      <c r="E2509" s="3" t="s">
        <v>3</v>
      </c>
      <c r="F2509" s="9"/>
    </row>
    <row r="2510" ht="13.5" customHeight="1">
      <c r="A2510" s="3" t="s">
        <v>4</v>
      </c>
      <c r="B2510" s="5" t="s">
        <v>30</v>
      </c>
      <c r="D2510" s="7"/>
      <c r="E2510" s="3" t="s">
        <v>6</v>
      </c>
      <c r="F2510" s="10">
        <v>0.15</v>
      </c>
    </row>
    <row r="2511" ht="13.5" customHeight="1">
      <c r="D2511" s="7"/>
      <c r="E2511" s="3" t="s">
        <v>8</v>
      </c>
      <c r="F2511" s="10">
        <v>0.2</v>
      </c>
    </row>
    <row r="2512" ht="13.5" customHeight="1">
      <c r="B2512" s="5" t="s">
        <v>546</v>
      </c>
      <c r="D2512" s="7"/>
      <c r="E2512" s="3" t="s">
        <v>10</v>
      </c>
      <c r="F2512" s="10">
        <v>0.19</v>
      </c>
    </row>
    <row r="2513" ht="13.5" customHeight="1">
      <c r="A2513" s="14" t="s">
        <v>11</v>
      </c>
      <c r="D2513" s="7"/>
      <c r="E2513" s="9"/>
      <c r="F2513" s="9"/>
    </row>
    <row r="2514" ht="13.5" customHeight="1">
      <c r="A2514" s="18" t="s">
        <v>15</v>
      </c>
      <c r="B2514" s="18" t="s">
        <v>17</v>
      </c>
      <c r="C2514" s="18" t="s">
        <v>18</v>
      </c>
      <c r="D2514" s="18" t="s">
        <v>19</v>
      </c>
      <c r="E2514" s="18" t="s">
        <v>20</v>
      </c>
      <c r="F2514" s="18" t="s">
        <v>21</v>
      </c>
    </row>
    <row r="2515" ht="13.5" customHeight="1">
      <c r="A2515" s="21" t="s">
        <v>22</v>
      </c>
      <c r="B2515" s="21" t="s">
        <v>547</v>
      </c>
      <c r="C2515" s="21" t="s">
        <v>538</v>
      </c>
      <c r="D2515" s="21">
        <v>1.0</v>
      </c>
      <c r="E2515" s="279">
        <v>120000.0</v>
      </c>
      <c r="F2515" s="33">
        <f t="shared" ref="F2515:F2521" si="124">ROUND(IFERROR(D2515*E2515,0),0)</f>
        <v>120000</v>
      </c>
    </row>
    <row r="2516" ht="13.5" customHeight="1">
      <c r="A2516" s="21" t="s">
        <v>27</v>
      </c>
      <c r="B2516" s="21" t="s">
        <v>539</v>
      </c>
      <c r="C2516" s="21" t="s">
        <v>5</v>
      </c>
      <c r="D2516" s="21">
        <v>1.2</v>
      </c>
      <c r="E2516" s="279">
        <v>40000.0</v>
      </c>
      <c r="F2516" s="33">
        <f t="shared" si="124"/>
        <v>48000</v>
      </c>
    </row>
    <row r="2517" ht="13.5" customHeight="1">
      <c r="A2517" s="21" t="s">
        <v>32</v>
      </c>
      <c r="B2517" s="21" t="s">
        <v>540</v>
      </c>
      <c r="C2517" s="21" t="s">
        <v>5</v>
      </c>
      <c r="D2517" s="21">
        <v>2.4</v>
      </c>
      <c r="E2517" s="279">
        <v>25000.0</v>
      </c>
      <c r="F2517" s="33">
        <f t="shared" si="124"/>
        <v>60000</v>
      </c>
    </row>
    <row r="2518" ht="13.5" customHeight="1">
      <c r="A2518" s="21" t="s">
        <v>99</v>
      </c>
      <c r="B2518" s="21" t="s">
        <v>542</v>
      </c>
      <c r="C2518" s="21" t="s">
        <v>538</v>
      </c>
      <c r="D2518" s="21">
        <v>1.0</v>
      </c>
      <c r="E2518" s="279">
        <v>60000.0</v>
      </c>
      <c r="F2518" s="33">
        <f t="shared" si="124"/>
        <v>60000</v>
      </c>
    </row>
    <row r="2519" ht="13.5" customHeight="1">
      <c r="A2519" s="21" t="s">
        <v>101</v>
      </c>
      <c r="B2519" s="21" t="s">
        <v>541</v>
      </c>
      <c r="C2519" s="21" t="s">
        <v>96</v>
      </c>
      <c r="D2519" s="21">
        <v>0.3</v>
      </c>
      <c r="E2519" s="279">
        <v>4000.0</v>
      </c>
      <c r="F2519" s="33">
        <f t="shared" si="124"/>
        <v>1200</v>
      </c>
    </row>
    <row r="2520" ht="13.5" customHeight="1">
      <c r="A2520" s="21" t="s">
        <v>107</v>
      </c>
      <c r="B2520" s="21" t="s">
        <v>543</v>
      </c>
      <c r="C2520" s="21" t="s">
        <v>530</v>
      </c>
      <c r="D2520" s="21">
        <v>1.0</v>
      </c>
      <c r="E2520" s="279">
        <v>30000.0</v>
      </c>
      <c r="F2520" s="33">
        <f t="shared" si="124"/>
        <v>30000</v>
      </c>
    </row>
    <row r="2521" ht="13.5" customHeight="1">
      <c r="A2521" s="21" t="s">
        <v>544</v>
      </c>
      <c r="B2521" s="21" t="s">
        <v>545</v>
      </c>
      <c r="C2521" s="21" t="s">
        <v>530</v>
      </c>
      <c r="D2521" s="21">
        <v>1.0</v>
      </c>
      <c r="E2521" s="279">
        <v>8000.0</v>
      </c>
      <c r="F2521" s="33">
        <f t="shared" si="124"/>
        <v>8000</v>
      </c>
    </row>
    <row r="2522" ht="13.5" customHeight="1">
      <c r="A2522" s="21"/>
      <c r="B2522" s="21"/>
      <c r="C2522" s="21"/>
      <c r="D2522" s="21"/>
      <c r="E2522" s="279"/>
      <c r="F2522" s="33"/>
    </row>
    <row r="2523" ht="13.5" customHeight="1">
      <c r="D2523" s="7"/>
      <c r="E2523" s="14" t="s">
        <v>37</v>
      </c>
      <c r="F2523" s="46">
        <f>SUM(F2515:F2522)</f>
        <v>327200</v>
      </c>
    </row>
    <row r="2524" ht="13.5" customHeight="1">
      <c r="D2524" s="7"/>
      <c r="E2524" s="9"/>
      <c r="F2524" s="9"/>
    </row>
    <row r="2525" ht="13.5" customHeight="1">
      <c r="A2525" s="14" t="s">
        <v>44</v>
      </c>
      <c r="D2525" s="7"/>
      <c r="E2525" s="9"/>
      <c r="F2525" s="9"/>
    </row>
    <row r="2526" ht="13.5" customHeight="1">
      <c r="A2526" s="18" t="s">
        <v>15</v>
      </c>
      <c r="B2526" s="18" t="s">
        <v>17</v>
      </c>
      <c r="C2526" s="18" t="s">
        <v>18</v>
      </c>
      <c r="D2526" s="18" t="s">
        <v>19</v>
      </c>
      <c r="E2526" s="18" t="s">
        <v>20</v>
      </c>
      <c r="F2526" s="18" t="s">
        <v>21</v>
      </c>
    </row>
    <row r="2527" ht="13.5" customHeight="1">
      <c r="A2527" s="21" t="s">
        <v>22</v>
      </c>
      <c r="B2527" s="21" t="s">
        <v>345</v>
      </c>
      <c r="C2527" s="21" t="s">
        <v>51</v>
      </c>
      <c r="D2527" s="187">
        <f>ROUND(1/B2509,2)</f>
        <v>0.25</v>
      </c>
      <c r="E2527" s="21">
        <v>65000.0</v>
      </c>
      <c r="F2527" s="33">
        <f t="shared" ref="F2527:F2528" si="125">ROUND(IFERROR(D2527*E2527,0),0)</f>
        <v>16250</v>
      </c>
    </row>
    <row r="2528" ht="13.5" customHeight="1">
      <c r="A2528" s="21" t="s">
        <v>27</v>
      </c>
      <c r="B2528" s="21" t="s">
        <v>54</v>
      </c>
      <c r="C2528" s="21" t="s">
        <v>51</v>
      </c>
      <c r="D2528" s="187">
        <f>ROUND(1/B2509,2)</f>
        <v>0.25</v>
      </c>
      <c r="E2528" s="21">
        <v>50000.0</v>
      </c>
      <c r="F2528" s="33">
        <f t="shared" si="125"/>
        <v>12500</v>
      </c>
    </row>
    <row r="2529" ht="13.5" customHeight="1">
      <c r="D2529" s="7"/>
      <c r="E2529" s="14" t="s">
        <v>37</v>
      </c>
      <c r="F2529" s="46">
        <f>SUM(F2527:F2528)</f>
        <v>28750</v>
      </c>
    </row>
    <row r="2530" ht="13.5" customHeight="1">
      <c r="D2530" s="7"/>
      <c r="E2530" s="14" t="s">
        <v>59</v>
      </c>
      <c r="F2530" s="46">
        <f>ROUND(F2529*0.5,0)</f>
        <v>14375</v>
      </c>
    </row>
    <row r="2531" ht="13.5" customHeight="1">
      <c r="D2531" s="7"/>
      <c r="E2531" s="14" t="s">
        <v>60</v>
      </c>
      <c r="F2531" s="46">
        <f>F2529+F2530</f>
        <v>43125</v>
      </c>
    </row>
    <row r="2532" ht="13.5" customHeight="1">
      <c r="D2532" s="7"/>
      <c r="E2532" s="9"/>
      <c r="F2532" s="9"/>
    </row>
    <row r="2533" ht="13.5" customHeight="1">
      <c r="A2533" s="14" t="s">
        <v>62</v>
      </c>
      <c r="D2533" s="7"/>
      <c r="E2533" s="9"/>
      <c r="F2533" s="9"/>
    </row>
    <row r="2534" ht="13.5" customHeight="1">
      <c r="A2534" s="18" t="s">
        <v>15</v>
      </c>
      <c r="B2534" s="18" t="s">
        <v>17</v>
      </c>
      <c r="C2534" s="18" t="s">
        <v>18</v>
      </c>
      <c r="D2534" s="18" t="s">
        <v>19</v>
      </c>
      <c r="E2534" s="18" t="s">
        <v>20</v>
      </c>
      <c r="F2534" s="18" t="s">
        <v>21</v>
      </c>
    </row>
    <row r="2535" ht="13.5" customHeight="1">
      <c r="A2535" s="21" t="s">
        <v>22</v>
      </c>
      <c r="B2535" s="21" t="s">
        <v>394</v>
      </c>
      <c r="C2535" s="21" t="s">
        <v>51</v>
      </c>
      <c r="D2535" s="144">
        <f>ROUND(1/B2509,2)</f>
        <v>0.25</v>
      </c>
      <c r="E2535" s="21">
        <v>45000.0</v>
      </c>
      <c r="F2535" s="33">
        <f>ROUND(IFERROR(D2535*E2535,0),0)</f>
        <v>11250</v>
      </c>
    </row>
    <row r="2536" ht="13.5" customHeight="1">
      <c r="A2536" s="21"/>
      <c r="B2536" s="21"/>
      <c r="C2536" s="21"/>
      <c r="D2536" s="144"/>
      <c r="E2536" s="21"/>
      <c r="F2536" s="33"/>
    </row>
    <row r="2537" ht="13.5" customHeight="1">
      <c r="D2537" s="7"/>
      <c r="E2537" s="14" t="s">
        <v>37</v>
      </c>
      <c r="F2537" s="46">
        <f>SUM(F2535:F2536)</f>
        <v>11250</v>
      </c>
    </row>
    <row r="2538" ht="13.5" customHeight="1">
      <c r="D2538" s="7"/>
      <c r="E2538" s="9"/>
      <c r="F2538" s="9"/>
    </row>
    <row r="2539" ht="13.5" customHeight="1">
      <c r="A2539" s="14" t="s">
        <v>74</v>
      </c>
      <c r="D2539" s="7"/>
      <c r="E2539" s="9"/>
      <c r="F2539" s="9"/>
    </row>
    <row r="2540" ht="13.5" customHeight="1">
      <c r="A2540" s="18"/>
      <c r="B2540" s="18" t="s">
        <v>17</v>
      </c>
      <c r="C2540" s="18" t="s">
        <v>18</v>
      </c>
      <c r="D2540" s="18" t="s">
        <v>19</v>
      </c>
      <c r="E2540" s="18" t="s">
        <v>20</v>
      </c>
      <c r="F2540" s="18" t="s">
        <v>21</v>
      </c>
    </row>
    <row r="2541" ht="13.5" customHeight="1">
      <c r="D2541" s="7"/>
      <c r="E2541" s="14" t="s">
        <v>77</v>
      </c>
      <c r="F2541" s="46">
        <f>F2523+F2531+F2537</f>
        <v>381575</v>
      </c>
    </row>
    <row r="2542" ht="13.5" customHeight="1">
      <c r="D2542" s="7"/>
      <c r="E2542" s="14" t="s">
        <v>6</v>
      </c>
      <c r="F2542" s="46">
        <f>ROUND(F2541*F2510,0)</f>
        <v>57236</v>
      </c>
    </row>
    <row r="2543" ht="13.5" customHeight="1">
      <c r="D2543" s="7"/>
      <c r="E2543" s="14" t="s">
        <v>8</v>
      </c>
      <c r="F2543" s="46">
        <f>ROUND(F2541*F2511,0)</f>
        <v>76315</v>
      </c>
    </row>
    <row r="2544" ht="13.5" customHeight="1">
      <c r="D2544" s="7"/>
      <c r="E2544" s="14" t="s">
        <v>81</v>
      </c>
      <c r="F2544" s="46">
        <f>F2541+F2542+F2543</f>
        <v>515126</v>
      </c>
    </row>
    <row r="2545" ht="13.5" customHeight="1">
      <c r="D2545" s="7"/>
      <c r="E2545" s="14" t="s">
        <v>82</v>
      </c>
      <c r="F2545" s="46">
        <f>ROUND(F2544*F2512,0)</f>
        <v>97874</v>
      </c>
    </row>
    <row r="2546" ht="13.5" customHeight="1">
      <c r="D2546" s="14" t="s">
        <v>425</v>
      </c>
      <c r="E2546" s="18" t="s">
        <v>84</v>
      </c>
      <c r="F2546" s="53">
        <f>F2544+F2545</f>
        <v>613000</v>
      </c>
    </row>
    <row r="2547" ht="13.5" customHeight="1"/>
    <row r="2548" ht="13.5" customHeight="1"/>
    <row r="2549" ht="13.5" customHeight="1"/>
    <row r="2550" ht="13.5" customHeight="1"/>
    <row r="2551" ht="13.5" customHeight="1"/>
    <row r="2552" ht="13.5" customHeight="1"/>
    <row r="2553" ht="13.5" customHeight="1">
      <c r="A2553" s="3" t="s">
        <v>1</v>
      </c>
      <c r="B2553" s="5">
        <v>4.0</v>
      </c>
      <c r="C2553" s="3" t="s">
        <v>2</v>
      </c>
      <c r="D2553" s="7"/>
      <c r="E2553" s="3" t="s">
        <v>3</v>
      </c>
      <c r="F2553" s="9"/>
    </row>
    <row r="2554" ht="13.5" customHeight="1">
      <c r="A2554" s="3" t="s">
        <v>4</v>
      </c>
      <c r="B2554" s="5" t="s">
        <v>30</v>
      </c>
      <c r="D2554" s="7"/>
      <c r="E2554" s="3" t="s">
        <v>6</v>
      </c>
      <c r="F2554" s="10">
        <v>0.15</v>
      </c>
    </row>
    <row r="2555" ht="13.5" customHeight="1">
      <c r="D2555" s="7"/>
      <c r="E2555" s="3" t="s">
        <v>8</v>
      </c>
      <c r="F2555" s="10">
        <v>0.2</v>
      </c>
    </row>
    <row r="2556" ht="13.5" customHeight="1">
      <c r="B2556" s="5" t="s">
        <v>548</v>
      </c>
      <c r="D2556" s="7"/>
      <c r="E2556" s="3" t="s">
        <v>10</v>
      </c>
      <c r="F2556" s="10">
        <v>0.19</v>
      </c>
    </row>
    <row r="2557" ht="13.5" customHeight="1">
      <c r="A2557" s="14" t="s">
        <v>11</v>
      </c>
      <c r="D2557" s="7"/>
      <c r="E2557" s="9"/>
      <c r="F2557" s="9"/>
    </row>
    <row r="2558" ht="13.5" customHeight="1">
      <c r="A2558" s="18" t="s">
        <v>15</v>
      </c>
      <c r="B2558" s="18" t="s">
        <v>17</v>
      </c>
      <c r="C2558" s="18" t="s">
        <v>18</v>
      </c>
      <c r="D2558" s="18" t="s">
        <v>19</v>
      </c>
      <c r="E2558" s="18" t="s">
        <v>20</v>
      </c>
      <c r="F2558" s="18" t="s">
        <v>21</v>
      </c>
    </row>
    <row r="2559" ht="13.5" customHeight="1">
      <c r="A2559" s="21" t="s">
        <v>22</v>
      </c>
      <c r="B2559" s="21" t="s">
        <v>524</v>
      </c>
      <c r="C2559" s="21" t="s">
        <v>538</v>
      </c>
      <c r="D2559" s="21">
        <v>1.0</v>
      </c>
      <c r="E2559" s="279">
        <v>75000.0</v>
      </c>
      <c r="F2559" s="33">
        <f t="shared" ref="F2559:F2564" si="126">ROUND(IFERROR(D2559*E2559,0),0)</f>
        <v>75000</v>
      </c>
    </row>
    <row r="2560" ht="13.5" customHeight="1">
      <c r="A2560" s="21" t="s">
        <v>27</v>
      </c>
      <c r="B2560" s="21" t="s">
        <v>525</v>
      </c>
      <c r="C2560" s="21" t="s">
        <v>538</v>
      </c>
      <c r="D2560" s="21">
        <v>1.0</v>
      </c>
      <c r="E2560" s="279">
        <v>12000.0</v>
      </c>
      <c r="F2560" s="33">
        <f t="shared" si="126"/>
        <v>12000</v>
      </c>
    </row>
    <row r="2561" ht="13.5" customHeight="1">
      <c r="A2561" s="21" t="s">
        <v>32</v>
      </c>
      <c r="B2561" s="21" t="s">
        <v>533</v>
      </c>
      <c r="C2561" s="21" t="s">
        <v>538</v>
      </c>
      <c r="D2561" s="21">
        <v>1.0</v>
      </c>
      <c r="E2561" s="279">
        <v>8000.0</v>
      </c>
      <c r="F2561" s="33">
        <f t="shared" si="126"/>
        <v>8000</v>
      </c>
    </row>
    <row r="2562" ht="13.5" customHeight="1">
      <c r="A2562" s="21" t="s">
        <v>99</v>
      </c>
      <c r="B2562" s="21" t="s">
        <v>526</v>
      </c>
      <c r="C2562" s="21" t="s">
        <v>96</v>
      </c>
      <c r="D2562" s="21">
        <v>0.2</v>
      </c>
      <c r="E2562" s="279">
        <v>3500.0</v>
      </c>
      <c r="F2562" s="33">
        <f t="shared" si="126"/>
        <v>700</v>
      </c>
    </row>
    <row r="2563" ht="13.5" customHeight="1">
      <c r="A2563" s="21" t="s">
        <v>101</v>
      </c>
      <c r="B2563" s="21" t="s">
        <v>527</v>
      </c>
      <c r="C2563" s="21" t="s">
        <v>528</v>
      </c>
      <c r="D2563" s="21">
        <v>0.2</v>
      </c>
      <c r="E2563" s="279">
        <v>4000.0</v>
      </c>
      <c r="F2563" s="33">
        <f t="shared" si="126"/>
        <v>800</v>
      </c>
    </row>
    <row r="2564" ht="13.5" customHeight="1">
      <c r="A2564" s="21" t="s">
        <v>107</v>
      </c>
      <c r="B2564" s="21" t="s">
        <v>549</v>
      </c>
      <c r="C2564" s="21" t="s">
        <v>530</v>
      </c>
      <c r="D2564" s="21">
        <v>1.0</v>
      </c>
      <c r="E2564" s="279">
        <v>15000.0</v>
      </c>
      <c r="F2564" s="33">
        <f t="shared" si="126"/>
        <v>15000</v>
      </c>
    </row>
    <row r="2565" ht="13.5" customHeight="1">
      <c r="A2565" s="21" t="s">
        <v>544</v>
      </c>
      <c r="B2565" s="21"/>
      <c r="C2565" s="21"/>
      <c r="D2565" s="21"/>
      <c r="E2565" s="279"/>
      <c r="F2565" s="33"/>
    </row>
    <row r="2566" ht="13.5" customHeight="1">
      <c r="A2566" s="21"/>
      <c r="B2566" s="21"/>
      <c r="C2566" s="21"/>
      <c r="D2566" s="21"/>
      <c r="E2566" s="279"/>
      <c r="F2566" s="33"/>
    </row>
    <row r="2567" ht="13.5" customHeight="1">
      <c r="D2567" s="7"/>
      <c r="E2567" s="14" t="s">
        <v>37</v>
      </c>
      <c r="F2567" s="46">
        <f>SUM(F2559:F2566)</f>
        <v>111500</v>
      </c>
    </row>
    <row r="2568" ht="13.5" customHeight="1">
      <c r="D2568" s="7"/>
      <c r="E2568" s="9"/>
      <c r="F2568" s="9"/>
    </row>
    <row r="2569" ht="13.5" customHeight="1">
      <c r="A2569" s="14" t="s">
        <v>44</v>
      </c>
      <c r="D2569" s="7"/>
      <c r="E2569" s="9"/>
      <c r="F2569" s="9"/>
    </row>
    <row r="2570" ht="13.5" customHeight="1">
      <c r="A2570" s="18" t="s">
        <v>15</v>
      </c>
      <c r="B2570" s="18" t="s">
        <v>17</v>
      </c>
      <c r="C2570" s="18" t="s">
        <v>18</v>
      </c>
      <c r="D2570" s="18" t="s">
        <v>19</v>
      </c>
      <c r="E2570" s="18" t="s">
        <v>20</v>
      </c>
      <c r="F2570" s="18" t="s">
        <v>21</v>
      </c>
    </row>
    <row r="2571" ht="13.5" customHeight="1">
      <c r="A2571" s="21" t="s">
        <v>22</v>
      </c>
      <c r="B2571" s="21" t="s">
        <v>345</v>
      </c>
      <c r="C2571" s="21" t="s">
        <v>51</v>
      </c>
      <c r="D2571" s="187">
        <f>1/B2553</f>
        <v>0.25</v>
      </c>
      <c r="E2571" s="21">
        <v>65000.0</v>
      </c>
      <c r="F2571" s="33">
        <f t="shared" ref="F2571:F2572" si="127">ROUND(IFERROR(D2571*E2571,0),0)</f>
        <v>16250</v>
      </c>
    </row>
    <row r="2572" ht="13.5" customHeight="1">
      <c r="A2572" s="21" t="s">
        <v>27</v>
      </c>
      <c r="B2572" s="21" t="s">
        <v>54</v>
      </c>
      <c r="C2572" s="21" t="s">
        <v>51</v>
      </c>
      <c r="D2572" s="187">
        <f>1/B2553</f>
        <v>0.25</v>
      </c>
      <c r="E2572" s="21">
        <v>50000.0</v>
      </c>
      <c r="F2572" s="33">
        <f t="shared" si="127"/>
        <v>12500</v>
      </c>
    </row>
    <row r="2573" ht="13.5" customHeight="1">
      <c r="D2573" s="7"/>
      <c r="E2573" s="14" t="s">
        <v>37</v>
      </c>
      <c r="F2573" s="46">
        <f>SUM(F2571:F2572)</f>
        <v>28750</v>
      </c>
    </row>
    <row r="2574" ht="13.5" customHeight="1">
      <c r="D2574" s="7"/>
      <c r="E2574" s="14" t="s">
        <v>59</v>
      </c>
      <c r="F2574" s="46">
        <f>F2573*0.5</f>
        <v>14375</v>
      </c>
    </row>
    <row r="2575" ht="13.5" customHeight="1">
      <c r="D2575" s="7"/>
      <c r="E2575" s="14" t="s">
        <v>60</v>
      </c>
      <c r="F2575" s="46">
        <f>F2573+F2574</f>
        <v>43125</v>
      </c>
    </row>
    <row r="2576" ht="13.5" customHeight="1">
      <c r="D2576" s="7"/>
      <c r="E2576" s="9"/>
      <c r="F2576" s="9"/>
    </row>
    <row r="2577" ht="13.5" customHeight="1">
      <c r="A2577" s="14" t="s">
        <v>62</v>
      </c>
      <c r="D2577" s="7"/>
      <c r="E2577" s="9"/>
      <c r="F2577" s="9"/>
    </row>
    <row r="2578" ht="13.5" customHeight="1">
      <c r="A2578" s="18" t="s">
        <v>15</v>
      </c>
      <c r="B2578" s="18" t="s">
        <v>17</v>
      </c>
      <c r="C2578" s="18" t="s">
        <v>18</v>
      </c>
      <c r="D2578" s="18" t="s">
        <v>19</v>
      </c>
      <c r="E2578" s="18" t="s">
        <v>20</v>
      </c>
      <c r="F2578" s="18" t="s">
        <v>21</v>
      </c>
    </row>
    <row r="2579" ht="13.5" customHeight="1">
      <c r="A2579" s="21" t="s">
        <v>22</v>
      </c>
      <c r="B2579" s="21" t="s">
        <v>394</v>
      </c>
      <c r="C2579" s="21" t="s">
        <v>51</v>
      </c>
      <c r="D2579" s="144">
        <f>1/B2553</f>
        <v>0.25</v>
      </c>
      <c r="E2579" s="21">
        <v>45000.0</v>
      </c>
      <c r="F2579" s="33">
        <f>ROUND(IFERROR(D2579*E2579,0),0)</f>
        <v>11250</v>
      </c>
    </row>
    <row r="2580" ht="13.5" customHeight="1">
      <c r="A2580" s="21"/>
      <c r="B2580" s="21"/>
      <c r="C2580" s="21"/>
      <c r="D2580" s="144"/>
      <c r="E2580" s="21"/>
      <c r="F2580" s="33"/>
    </row>
    <row r="2581" ht="13.5" customHeight="1">
      <c r="D2581" s="7"/>
      <c r="E2581" s="14" t="s">
        <v>37</v>
      </c>
      <c r="F2581" s="46">
        <f>SUM(F2579:F2580)</f>
        <v>11250</v>
      </c>
    </row>
    <row r="2582" ht="13.5" customHeight="1">
      <c r="D2582" s="7"/>
      <c r="E2582" s="9"/>
      <c r="F2582" s="48"/>
    </row>
    <row r="2583" ht="13.5" customHeight="1">
      <c r="A2583" s="14" t="s">
        <v>74</v>
      </c>
      <c r="D2583" s="7"/>
      <c r="E2583" s="9"/>
      <c r="F2583" s="9"/>
    </row>
    <row r="2584" ht="13.5" customHeight="1">
      <c r="A2584" s="18"/>
      <c r="B2584" s="18" t="s">
        <v>17</v>
      </c>
      <c r="C2584" s="18" t="s">
        <v>18</v>
      </c>
      <c r="D2584" s="18" t="s">
        <v>19</v>
      </c>
      <c r="E2584" s="18" t="s">
        <v>20</v>
      </c>
      <c r="F2584" s="18" t="s">
        <v>21</v>
      </c>
    </row>
    <row r="2585" ht="13.5" customHeight="1">
      <c r="D2585" s="7"/>
      <c r="E2585" s="14" t="s">
        <v>77</v>
      </c>
      <c r="F2585" s="46">
        <f>F2567+F2575+F2581</f>
        <v>165875</v>
      </c>
    </row>
    <row r="2586" ht="13.5" customHeight="1">
      <c r="D2586" s="7"/>
      <c r="E2586" s="14" t="s">
        <v>6</v>
      </c>
      <c r="F2586" s="46">
        <f>ROUND(F2585*F2554,0)</f>
        <v>24881</v>
      </c>
    </row>
    <row r="2587" ht="13.5" customHeight="1">
      <c r="D2587" s="7"/>
      <c r="E2587" s="14" t="s">
        <v>8</v>
      </c>
      <c r="F2587" s="46">
        <f>ROUND(F2585*F2555,0)</f>
        <v>33175</v>
      </c>
    </row>
    <row r="2588" ht="13.5" customHeight="1">
      <c r="D2588" s="7"/>
      <c r="E2588" s="14" t="s">
        <v>81</v>
      </c>
      <c r="F2588" s="46">
        <f>F2585+F2586+F2587</f>
        <v>223931</v>
      </c>
    </row>
    <row r="2589" ht="13.5" customHeight="1">
      <c r="D2589" s="7"/>
      <c r="E2589" s="14" t="s">
        <v>82</v>
      </c>
      <c r="F2589" s="46">
        <f>ROUND(F2588*F2556,0)</f>
        <v>42547</v>
      </c>
    </row>
    <row r="2590" ht="13.5" customHeight="1">
      <c r="D2590" s="14" t="s">
        <v>425</v>
      </c>
      <c r="E2590" s="18" t="s">
        <v>84</v>
      </c>
      <c r="F2590" s="53">
        <f>F2588+F2589</f>
        <v>266478</v>
      </c>
    </row>
    <row r="2591" ht="13.5" customHeight="1"/>
    <row r="2592" ht="13.5" customHeight="1"/>
    <row r="2593" ht="13.5" customHeight="1"/>
    <row r="2594" ht="13.5" customHeight="1"/>
    <row r="2595" ht="13.5" customHeight="1"/>
    <row r="2596" ht="13.5" customHeight="1"/>
    <row r="2597" ht="13.5" customHeight="1">
      <c r="A2597" s="3" t="s">
        <v>1</v>
      </c>
      <c r="B2597" s="5">
        <v>4.0</v>
      </c>
      <c r="C2597" s="3" t="s">
        <v>2</v>
      </c>
      <c r="D2597" s="7"/>
      <c r="E2597" s="3" t="s">
        <v>3</v>
      </c>
      <c r="F2597" s="9"/>
    </row>
    <row r="2598" ht="13.5" customHeight="1">
      <c r="A2598" s="3" t="s">
        <v>4</v>
      </c>
      <c r="B2598" s="5" t="s">
        <v>30</v>
      </c>
      <c r="D2598" s="7"/>
      <c r="E2598" s="3" t="s">
        <v>6</v>
      </c>
      <c r="F2598" s="10">
        <v>0.15</v>
      </c>
    </row>
    <row r="2599" ht="13.5" customHeight="1">
      <c r="D2599" s="7"/>
      <c r="E2599" s="3" t="s">
        <v>8</v>
      </c>
      <c r="F2599" s="10">
        <v>0.2</v>
      </c>
    </row>
    <row r="2600" ht="13.5" customHeight="1">
      <c r="B2600" s="5" t="s">
        <v>550</v>
      </c>
      <c r="D2600" s="7"/>
      <c r="E2600" s="3" t="s">
        <v>10</v>
      </c>
      <c r="F2600" s="10">
        <v>0.19</v>
      </c>
    </row>
    <row r="2601" ht="13.5" customHeight="1">
      <c r="A2601" s="14" t="s">
        <v>11</v>
      </c>
      <c r="D2601" s="7"/>
      <c r="E2601" s="9"/>
      <c r="F2601" s="9"/>
    </row>
    <row r="2602" ht="13.5" customHeight="1">
      <c r="A2602" s="18" t="s">
        <v>15</v>
      </c>
      <c r="B2602" s="18" t="s">
        <v>17</v>
      </c>
      <c r="C2602" s="18" t="s">
        <v>18</v>
      </c>
      <c r="D2602" s="18" t="s">
        <v>19</v>
      </c>
      <c r="E2602" s="18" t="s">
        <v>20</v>
      </c>
      <c r="F2602" s="18" t="s">
        <v>21</v>
      </c>
    </row>
    <row r="2603" ht="13.5" customHeight="1">
      <c r="A2603" s="21" t="s">
        <v>22</v>
      </c>
      <c r="B2603" s="21" t="s">
        <v>524</v>
      </c>
      <c r="C2603" s="21" t="s">
        <v>538</v>
      </c>
      <c r="D2603" s="21">
        <v>1.0</v>
      </c>
      <c r="E2603" s="279">
        <v>75000.0</v>
      </c>
      <c r="F2603" s="33">
        <f t="shared" ref="F2603:F2607" si="128">ROUND(IFERROR(D2603*E2603,0),0)</f>
        <v>75000</v>
      </c>
    </row>
    <row r="2604" ht="13.5" customHeight="1">
      <c r="A2604" s="21" t="s">
        <v>27</v>
      </c>
      <c r="B2604" s="21" t="s">
        <v>525</v>
      </c>
      <c r="C2604" s="21" t="s">
        <v>538</v>
      </c>
      <c r="D2604" s="21">
        <v>1.0</v>
      </c>
      <c r="E2604" s="279">
        <v>12000.0</v>
      </c>
      <c r="F2604" s="33">
        <f t="shared" si="128"/>
        <v>12000</v>
      </c>
    </row>
    <row r="2605" ht="13.5" customHeight="1">
      <c r="A2605" s="21" t="s">
        <v>32</v>
      </c>
      <c r="B2605" s="21" t="s">
        <v>526</v>
      </c>
      <c r="C2605" s="21" t="s">
        <v>96</v>
      </c>
      <c r="D2605" s="21">
        <v>0.2</v>
      </c>
      <c r="E2605" s="279">
        <v>3500.0</v>
      </c>
      <c r="F2605" s="33">
        <f t="shared" si="128"/>
        <v>700</v>
      </c>
    </row>
    <row r="2606" ht="13.5" customHeight="1">
      <c r="A2606" s="21" t="s">
        <v>99</v>
      </c>
      <c r="B2606" s="21" t="s">
        <v>527</v>
      </c>
      <c r="C2606" s="21" t="s">
        <v>528</v>
      </c>
      <c r="D2606" s="21">
        <v>0.2</v>
      </c>
      <c r="E2606" s="279">
        <v>4000.0</v>
      </c>
      <c r="F2606" s="33">
        <f t="shared" si="128"/>
        <v>800</v>
      </c>
    </row>
    <row r="2607" ht="13.5" customHeight="1">
      <c r="A2607" s="21" t="s">
        <v>101</v>
      </c>
      <c r="B2607" s="21" t="s">
        <v>549</v>
      </c>
      <c r="C2607" s="21" t="s">
        <v>530</v>
      </c>
      <c r="D2607" s="21">
        <v>1.0</v>
      </c>
      <c r="E2607" s="279">
        <v>15000.0</v>
      </c>
      <c r="F2607" s="33">
        <f t="shared" si="128"/>
        <v>15000</v>
      </c>
    </row>
    <row r="2608" ht="13.5" customHeight="1">
      <c r="A2608" s="21" t="s">
        <v>107</v>
      </c>
      <c r="B2608" s="21"/>
      <c r="C2608" s="21"/>
      <c r="D2608" s="21"/>
      <c r="E2608" s="279"/>
      <c r="F2608" s="33"/>
    </row>
    <row r="2609" ht="13.5" customHeight="1">
      <c r="A2609" s="21" t="s">
        <v>544</v>
      </c>
      <c r="B2609" s="21"/>
      <c r="C2609" s="21"/>
      <c r="D2609" s="21"/>
      <c r="E2609" s="279"/>
      <c r="F2609" s="33"/>
    </row>
    <row r="2610" ht="13.5" customHeight="1">
      <c r="A2610" s="21"/>
      <c r="B2610" s="21"/>
      <c r="C2610" s="21"/>
      <c r="D2610" s="21"/>
      <c r="E2610" s="279"/>
      <c r="F2610" s="33"/>
    </row>
    <row r="2611" ht="13.5" customHeight="1">
      <c r="D2611" s="7"/>
      <c r="E2611" s="14" t="s">
        <v>37</v>
      </c>
      <c r="F2611" s="46">
        <f>SUM(F2603:F2610)</f>
        <v>103500</v>
      </c>
    </row>
    <row r="2612" ht="13.5" customHeight="1">
      <c r="D2612" s="7"/>
      <c r="E2612" s="9"/>
      <c r="F2612" s="9"/>
    </row>
    <row r="2613" ht="13.5" customHeight="1">
      <c r="A2613" s="14" t="s">
        <v>44</v>
      </c>
      <c r="D2613" s="7"/>
      <c r="E2613" s="9"/>
      <c r="F2613" s="9"/>
    </row>
    <row r="2614" ht="13.5" customHeight="1">
      <c r="A2614" s="18" t="s">
        <v>15</v>
      </c>
      <c r="B2614" s="18" t="s">
        <v>17</v>
      </c>
      <c r="C2614" s="18" t="s">
        <v>18</v>
      </c>
      <c r="D2614" s="18" t="s">
        <v>19</v>
      </c>
      <c r="E2614" s="18" t="s">
        <v>20</v>
      </c>
      <c r="F2614" s="18" t="s">
        <v>21</v>
      </c>
    </row>
    <row r="2615" ht="13.5" customHeight="1">
      <c r="A2615" s="21" t="s">
        <v>22</v>
      </c>
      <c r="B2615" s="21" t="s">
        <v>345</v>
      </c>
      <c r="C2615" s="21" t="s">
        <v>51</v>
      </c>
      <c r="D2615" s="187">
        <f>1/B2597</f>
        <v>0.25</v>
      </c>
      <c r="E2615" s="21">
        <v>65000.0</v>
      </c>
      <c r="F2615" s="33">
        <f t="shared" ref="F2615:F2616" si="129">ROUND(IFERROR(D2615*E2615,0),0)</f>
        <v>16250</v>
      </c>
    </row>
    <row r="2616" ht="13.5" customHeight="1">
      <c r="A2616" s="21" t="s">
        <v>27</v>
      </c>
      <c r="B2616" s="21" t="s">
        <v>54</v>
      </c>
      <c r="C2616" s="21" t="s">
        <v>51</v>
      </c>
      <c r="D2616" s="187">
        <f>1/B2597</f>
        <v>0.25</v>
      </c>
      <c r="E2616" s="21">
        <v>50000.0</v>
      </c>
      <c r="F2616" s="33">
        <f t="shared" si="129"/>
        <v>12500</v>
      </c>
    </row>
    <row r="2617" ht="13.5" customHeight="1">
      <c r="D2617" s="7"/>
      <c r="E2617" s="14" t="s">
        <v>37</v>
      </c>
      <c r="F2617" s="46">
        <f>SUM(F2615:F2616)</f>
        <v>28750</v>
      </c>
    </row>
    <row r="2618" ht="13.5" customHeight="1">
      <c r="D2618" s="7"/>
      <c r="E2618" s="14" t="s">
        <v>59</v>
      </c>
      <c r="F2618" s="46">
        <f>F2617*0.5</f>
        <v>14375</v>
      </c>
    </row>
    <row r="2619" ht="13.5" customHeight="1">
      <c r="D2619" s="7"/>
      <c r="E2619" s="14" t="s">
        <v>60</v>
      </c>
      <c r="F2619" s="46">
        <f>F2617+F2618</f>
        <v>43125</v>
      </c>
    </row>
    <row r="2620" ht="13.5" customHeight="1">
      <c r="D2620" s="7"/>
      <c r="E2620" s="9"/>
      <c r="F2620" s="9"/>
    </row>
    <row r="2621" ht="13.5" customHeight="1">
      <c r="A2621" s="14" t="s">
        <v>62</v>
      </c>
      <c r="D2621" s="7"/>
      <c r="E2621" s="9"/>
      <c r="F2621" s="9"/>
    </row>
    <row r="2622" ht="13.5" customHeight="1">
      <c r="A2622" s="18" t="s">
        <v>15</v>
      </c>
      <c r="B2622" s="18" t="s">
        <v>17</v>
      </c>
      <c r="C2622" s="18" t="s">
        <v>18</v>
      </c>
      <c r="D2622" s="18" t="s">
        <v>19</v>
      </c>
      <c r="E2622" s="18" t="s">
        <v>20</v>
      </c>
      <c r="F2622" s="18" t="s">
        <v>21</v>
      </c>
    </row>
    <row r="2623" ht="13.5" customHeight="1">
      <c r="A2623" s="21" t="s">
        <v>22</v>
      </c>
      <c r="B2623" s="21" t="s">
        <v>394</v>
      </c>
      <c r="C2623" s="21" t="s">
        <v>51</v>
      </c>
      <c r="D2623" s="144">
        <f>1/B2597</f>
        <v>0.25</v>
      </c>
      <c r="E2623" s="21">
        <v>45000.0</v>
      </c>
      <c r="F2623" s="33">
        <f>ROUND(IFERROR(D2623*E2623,0),0)</f>
        <v>11250</v>
      </c>
    </row>
    <row r="2624" ht="13.5" customHeight="1">
      <c r="A2624" s="21"/>
      <c r="B2624" s="21"/>
      <c r="C2624" s="21"/>
      <c r="D2624" s="144"/>
      <c r="E2624" s="21"/>
      <c r="F2624" s="33"/>
    </row>
    <row r="2625" ht="13.5" customHeight="1">
      <c r="D2625" s="7"/>
      <c r="E2625" s="14" t="s">
        <v>37</v>
      </c>
      <c r="F2625" s="46">
        <f>SUM(F2623:F2624)</f>
        <v>11250</v>
      </c>
    </row>
    <row r="2626" ht="13.5" customHeight="1">
      <c r="D2626" s="7"/>
      <c r="E2626" s="9"/>
      <c r="F2626" s="9"/>
    </row>
    <row r="2627" ht="13.5" customHeight="1">
      <c r="A2627" s="14" t="s">
        <v>74</v>
      </c>
      <c r="D2627" s="7"/>
      <c r="E2627" s="9"/>
      <c r="F2627" s="9"/>
    </row>
    <row r="2628" ht="13.5" customHeight="1">
      <c r="A2628" s="18"/>
      <c r="B2628" s="18" t="s">
        <v>17</v>
      </c>
      <c r="C2628" s="18" t="s">
        <v>18</v>
      </c>
      <c r="D2628" s="18" t="s">
        <v>19</v>
      </c>
      <c r="E2628" s="18" t="s">
        <v>20</v>
      </c>
      <c r="F2628" s="18" t="s">
        <v>21</v>
      </c>
    </row>
    <row r="2629" ht="13.5" customHeight="1">
      <c r="D2629" s="7"/>
      <c r="E2629" s="14" t="s">
        <v>77</v>
      </c>
      <c r="F2629" s="46">
        <f>F2611+F2619+F2625</f>
        <v>157875</v>
      </c>
    </row>
    <row r="2630" ht="13.5" customHeight="1">
      <c r="D2630" s="7"/>
      <c r="E2630" s="14" t="s">
        <v>6</v>
      </c>
      <c r="F2630" s="46">
        <f>ROUND(F2629*F2598,0)</f>
        <v>23681</v>
      </c>
    </row>
    <row r="2631" ht="13.5" customHeight="1">
      <c r="D2631" s="7"/>
      <c r="E2631" s="14" t="s">
        <v>8</v>
      </c>
      <c r="F2631" s="46">
        <f>ROUND(F2629*F2599,0)</f>
        <v>31575</v>
      </c>
    </row>
    <row r="2632" ht="13.5" customHeight="1">
      <c r="D2632" s="7"/>
      <c r="E2632" s="14" t="s">
        <v>81</v>
      </c>
      <c r="F2632" s="46">
        <f>F2629+F2630+F2631</f>
        <v>213131</v>
      </c>
    </row>
    <row r="2633" ht="13.5" customHeight="1">
      <c r="D2633" s="7"/>
      <c r="E2633" s="14" t="s">
        <v>82</v>
      </c>
      <c r="F2633" s="46">
        <f>ROUND(F2632*F2600,0)</f>
        <v>40495</v>
      </c>
    </row>
    <row r="2634" ht="13.5" customHeight="1">
      <c r="D2634" s="14" t="s">
        <v>425</v>
      </c>
      <c r="E2634" s="18" t="s">
        <v>84</v>
      </c>
      <c r="F2634" s="53">
        <f>F2632+F2633</f>
        <v>253626</v>
      </c>
    </row>
    <row r="2635" ht="13.5" customHeight="1"/>
    <row r="2636" ht="13.5" customHeight="1"/>
    <row r="2637" ht="13.5" customHeight="1"/>
    <row r="2638" ht="13.5" customHeight="1"/>
    <row r="2639" ht="13.5" customHeight="1"/>
    <row r="2640" ht="13.5" customHeight="1"/>
    <row r="2641" ht="13.5" customHeight="1">
      <c r="A2641" s="3" t="s">
        <v>1</v>
      </c>
      <c r="B2641" s="5">
        <v>16.0</v>
      </c>
      <c r="C2641" s="3" t="s">
        <v>2</v>
      </c>
      <c r="D2641" s="7"/>
      <c r="E2641" s="3" t="s">
        <v>3</v>
      </c>
      <c r="F2641" s="9"/>
    </row>
    <row r="2642" ht="13.5" customHeight="1">
      <c r="A2642" s="3" t="s">
        <v>4</v>
      </c>
      <c r="B2642" s="5" t="s">
        <v>30</v>
      </c>
      <c r="D2642" s="7"/>
      <c r="E2642" s="3" t="s">
        <v>6</v>
      </c>
      <c r="F2642" s="10">
        <v>0.15</v>
      </c>
    </row>
    <row r="2643" ht="13.5" customHeight="1">
      <c r="D2643" s="7"/>
      <c r="E2643" s="3" t="s">
        <v>8</v>
      </c>
      <c r="F2643" s="10">
        <v>0.2</v>
      </c>
    </row>
    <row r="2644" ht="13.5" customHeight="1">
      <c r="B2644" s="5" t="s">
        <v>551</v>
      </c>
      <c r="D2644" s="7"/>
      <c r="E2644" s="3" t="s">
        <v>10</v>
      </c>
      <c r="F2644" s="10">
        <v>0.19</v>
      </c>
    </row>
    <row r="2645" ht="13.5" customHeight="1">
      <c r="A2645" s="14" t="s">
        <v>11</v>
      </c>
      <c r="D2645" s="7"/>
      <c r="E2645" s="9"/>
      <c r="F2645" s="9"/>
    </row>
    <row r="2646" ht="13.5" customHeight="1">
      <c r="A2646" s="18" t="s">
        <v>15</v>
      </c>
      <c r="B2646" s="18" t="s">
        <v>17</v>
      </c>
      <c r="C2646" s="18" t="s">
        <v>18</v>
      </c>
      <c r="D2646" s="18" t="s">
        <v>19</v>
      </c>
      <c r="E2646" s="18" t="s">
        <v>20</v>
      </c>
      <c r="F2646" s="18" t="s">
        <v>21</v>
      </c>
    </row>
    <row r="2647" ht="13.5" customHeight="1">
      <c r="A2647" s="21" t="s">
        <v>22</v>
      </c>
      <c r="B2647" s="21" t="s">
        <v>552</v>
      </c>
      <c r="C2647" s="21" t="s">
        <v>30</v>
      </c>
      <c r="D2647" s="21">
        <v>1.0</v>
      </c>
      <c r="E2647" s="279">
        <v>11891.0</v>
      </c>
      <c r="F2647" s="33">
        <f t="shared" ref="F2647:F2649" si="130">ROUND(IFERROR(D2647*E2647,0),0)</f>
        <v>11891</v>
      </c>
    </row>
    <row r="2648" ht="13.5" customHeight="1">
      <c r="A2648" s="21" t="s">
        <v>27</v>
      </c>
      <c r="B2648" s="21" t="s">
        <v>553</v>
      </c>
      <c r="C2648" s="21" t="s">
        <v>34</v>
      </c>
      <c r="D2648" s="21">
        <v>1.0</v>
      </c>
      <c r="E2648" s="279">
        <v>1200.0</v>
      </c>
      <c r="F2648" s="33">
        <f t="shared" si="130"/>
        <v>1200</v>
      </c>
    </row>
    <row r="2649" ht="13.5" customHeight="1">
      <c r="A2649" s="21" t="s">
        <v>32</v>
      </c>
      <c r="B2649" s="21" t="s">
        <v>554</v>
      </c>
      <c r="C2649" s="21" t="s">
        <v>34</v>
      </c>
      <c r="D2649" s="21">
        <v>1.0</v>
      </c>
      <c r="E2649" s="279">
        <v>800.0</v>
      </c>
      <c r="F2649" s="33">
        <f t="shared" si="130"/>
        <v>800</v>
      </c>
    </row>
    <row r="2650" ht="13.5" customHeight="1">
      <c r="A2650" s="21" t="s">
        <v>99</v>
      </c>
      <c r="B2650" s="21"/>
      <c r="C2650" s="21"/>
      <c r="D2650" s="21"/>
      <c r="E2650" s="279"/>
      <c r="F2650" s="33">
        <f>IFERROR(D2650*E2650,0)</f>
        <v>0</v>
      </c>
    </row>
    <row r="2651" ht="13.5" customHeight="1">
      <c r="A2651" s="21"/>
      <c r="B2651" s="21"/>
      <c r="C2651" s="21"/>
      <c r="D2651" s="21"/>
      <c r="E2651" s="279"/>
      <c r="F2651" s="33"/>
    </row>
    <row r="2652" ht="13.5" customHeight="1">
      <c r="A2652" s="21"/>
      <c r="B2652" s="21"/>
      <c r="C2652" s="21"/>
      <c r="D2652" s="21"/>
      <c r="E2652" s="279"/>
      <c r="F2652" s="33"/>
    </row>
    <row r="2653" ht="13.5" customHeight="1">
      <c r="D2653" s="7"/>
      <c r="E2653" s="14" t="s">
        <v>37</v>
      </c>
      <c r="F2653" s="46">
        <f>SUM(F2647:F2652)</f>
        <v>13891</v>
      </c>
    </row>
    <row r="2654" ht="13.5" customHeight="1">
      <c r="D2654" s="7"/>
      <c r="E2654" s="9"/>
      <c r="F2654" s="9"/>
    </row>
    <row r="2655" ht="13.5" customHeight="1">
      <c r="A2655" s="14" t="s">
        <v>44</v>
      </c>
      <c r="D2655" s="7"/>
      <c r="E2655" s="9"/>
      <c r="F2655" s="9"/>
    </row>
    <row r="2656" ht="13.5" customHeight="1">
      <c r="A2656" s="18" t="s">
        <v>15</v>
      </c>
      <c r="B2656" s="18" t="s">
        <v>17</v>
      </c>
      <c r="C2656" s="18" t="s">
        <v>18</v>
      </c>
      <c r="D2656" s="18" t="s">
        <v>19</v>
      </c>
      <c r="E2656" s="18" t="s">
        <v>20</v>
      </c>
      <c r="F2656" s="18" t="s">
        <v>21</v>
      </c>
    </row>
    <row r="2657" ht="13.5" customHeight="1">
      <c r="A2657" s="21" t="s">
        <v>22</v>
      </c>
      <c r="B2657" s="21" t="s">
        <v>345</v>
      </c>
      <c r="C2657" s="21" t="s">
        <v>51</v>
      </c>
      <c r="D2657" s="187">
        <f>ROUND(1/B2641,2)</f>
        <v>0.06</v>
      </c>
      <c r="E2657" s="21">
        <v>65000.0</v>
      </c>
      <c r="F2657" s="33">
        <f t="shared" ref="F2657:F2658" si="131">ROUND(IFERROR(D2657*E2657,0),0)</f>
        <v>3900</v>
      </c>
    </row>
    <row r="2658" ht="13.5" customHeight="1">
      <c r="A2658" s="21" t="s">
        <v>27</v>
      </c>
      <c r="B2658" s="21" t="s">
        <v>54</v>
      </c>
      <c r="C2658" s="21" t="s">
        <v>51</v>
      </c>
      <c r="D2658" s="187">
        <f>ROUND(1/B2641,2)</f>
        <v>0.06</v>
      </c>
      <c r="E2658" s="21">
        <v>50000.0</v>
      </c>
      <c r="F2658" s="33">
        <f t="shared" si="131"/>
        <v>3000</v>
      </c>
    </row>
    <row r="2659" ht="13.5" customHeight="1">
      <c r="D2659" s="7"/>
      <c r="E2659" s="14" t="s">
        <v>37</v>
      </c>
      <c r="F2659" s="46">
        <f>SUM(F2657:F2658)</f>
        <v>6900</v>
      </c>
    </row>
    <row r="2660" ht="13.5" customHeight="1">
      <c r="D2660" s="7"/>
      <c r="E2660" s="14" t="s">
        <v>59</v>
      </c>
      <c r="F2660" s="46">
        <f>ROUND(F2659*0.5,0)</f>
        <v>3450</v>
      </c>
    </row>
    <row r="2661" ht="13.5" customHeight="1">
      <c r="D2661" s="7"/>
      <c r="E2661" s="14" t="s">
        <v>60</v>
      </c>
      <c r="F2661" s="46">
        <f>F2659+F2660</f>
        <v>10350</v>
      </c>
    </row>
    <row r="2662" ht="13.5" customHeight="1">
      <c r="D2662" s="7"/>
      <c r="E2662" s="9"/>
      <c r="F2662" s="9"/>
    </row>
    <row r="2663" ht="13.5" customHeight="1">
      <c r="A2663" s="14" t="s">
        <v>62</v>
      </c>
      <c r="D2663" s="7"/>
      <c r="E2663" s="9"/>
      <c r="F2663" s="9"/>
    </row>
    <row r="2664" ht="13.5" customHeight="1">
      <c r="A2664" s="18" t="s">
        <v>15</v>
      </c>
      <c r="B2664" s="18" t="s">
        <v>17</v>
      </c>
      <c r="C2664" s="18" t="s">
        <v>18</v>
      </c>
      <c r="D2664" s="18" t="s">
        <v>19</v>
      </c>
      <c r="E2664" s="18" t="s">
        <v>20</v>
      </c>
      <c r="F2664" s="18" t="s">
        <v>21</v>
      </c>
    </row>
    <row r="2665" ht="13.5" customHeight="1">
      <c r="A2665" s="21" t="s">
        <v>22</v>
      </c>
      <c r="B2665" s="21" t="s">
        <v>394</v>
      </c>
      <c r="C2665" s="21" t="s">
        <v>51</v>
      </c>
      <c r="D2665" s="144">
        <f>ROUND(1/B2641,2)</f>
        <v>0.06</v>
      </c>
      <c r="E2665" s="21">
        <v>45000.0</v>
      </c>
      <c r="F2665" s="33">
        <f>ROUND(IFERROR(D2665*E2665,0),0)</f>
        <v>2700</v>
      </c>
    </row>
    <row r="2666" ht="13.5" customHeight="1">
      <c r="A2666" s="21"/>
      <c r="B2666" s="21"/>
      <c r="C2666" s="21"/>
      <c r="D2666" s="144"/>
      <c r="E2666" s="21"/>
      <c r="F2666" s="33"/>
    </row>
    <row r="2667" ht="13.5" customHeight="1">
      <c r="D2667" s="7"/>
      <c r="E2667" s="14" t="s">
        <v>37</v>
      </c>
      <c r="F2667" s="46">
        <f>SUM(F2665:F2666)</f>
        <v>2700</v>
      </c>
    </row>
    <row r="2668" ht="13.5" customHeight="1">
      <c r="D2668" s="7"/>
      <c r="E2668" s="9"/>
      <c r="F2668" s="9"/>
    </row>
    <row r="2669" ht="13.5" customHeight="1">
      <c r="A2669" s="14" t="s">
        <v>74</v>
      </c>
      <c r="D2669" s="7"/>
      <c r="E2669" s="9"/>
      <c r="F2669" s="9"/>
    </row>
    <row r="2670" ht="13.5" customHeight="1">
      <c r="A2670" s="18"/>
      <c r="B2670" s="18" t="s">
        <v>17</v>
      </c>
      <c r="C2670" s="18" t="s">
        <v>18</v>
      </c>
      <c r="D2670" s="18" t="s">
        <v>19</v>
      </c>
      <c r="E2670" s="18" t="s">
        <v>20</v>
      </c>
      <c r="F2670" s="18" t="s">
        <v>21</v>
      </c>
    </row>
    <row r="2671" ht="13.5" customHeight="1">
      <c r="D2671" s="7"/>
      <c r="E2671" s="14" t="s">
        <v>77</v>
      </c>
      <c r="F2671" s="46">
        <f>F2653+F2661+F2667</f>
        <v>26941</v>
      </c>
    </row>
    <row r="2672" ht="13.5" customHeight="1">
      <c r="D2672" s="7"/>
      <c r="E2672" s="14" t="s">
        <v>6</v>
      </c>
      <c r="F2672" s="46">
        <f>ROUND(F2671*F2642,0)</f>
        <v>4041</v>
      </c>
    </row>
    <row r="2673" ht="13.5" customHeight="1">
      <c r="D2673" s="7"/>
      <c r="E2673" s="14" t="s">
        <v>8</v>
      </c>
      <c r="F2673" s="46">
        <f>ROUND(F2671*F2643,0)</f>
        <v>5388</v>
      </c>
    </row>
    <row r="2674" ht="13.5" customHeight="1">
      <c r="D2674" s="7"/>
      <c r="E2674" s="14" t="s">
        <v>81</v>
      </c>
      <c r="F2674" s="46">
        <f>F2671+F2672+F2673</f>
        <v>36370</v>
      </c>
    </row>
    <row r="2675" ht="13.5" customHeight="1">
      <c r="D2675" s="7"/>
      <c r="E2675" s="14" t="s">
        <v>82</v>
      </c>
      <c r="F2675" s="46">
        <f>ROUND(F2674*F2644,0)</f>
        <v>6910</v>
      </c>
    </row>
    <row r="2676" ht="13.5" customHeight="1">
      <c r="D2676" s="14" t="s">
        <v>425</v>
      </c>
      <c r="E2676" s="18" t="s">
        <v>84</v>
      </c>
      <c r="F2676" s="53">
        <f>F2674+F2675</f>
        <v>43280</v>
      </c>
    </row>
    <row r="2677" ht="13.5" customHeight="1"/>
    <row r="2678" ht="13.5" customHeight="1"/>
    <row r="2679" ht="13.5" customHeight="1"/>
    <row r="2680" ht="13.5" customHeight="1"/>
    <row r="2681" ht="13.5" customHeight="1"/>
    <row r="2682" ht="13.5" customHeight="1"/>
    <row r="2683" ht="13.5" customHeight="1"/>
    <row r="2684" ht="13.5" customHeight="1"/>
    <row r="2685" ht="13.5" customHeight="1">
      <c r="A2685" s="3" t="s">
        <v>1</v>
      </c>
      <c r="B2685" s="5">
        <v>16.0</v>
      </c>
      <c r="C2685" s="3" t="s">
        <v>2</v>
      </c>
      <c r="D2685" s="7"/>
      <c r="E2685" s="3" t="s">
        <v>3</v>
      </c>
      <c r="F2685" s="9"/>
    </row>
    <row r="2686" ht="13.5" customHeight="1">
      <c r="A2686" s="3" t="s">
        <v>4</v>
      </c>
      <c r="B2686" s="5" t="s">
        <v>30</v>
      </c>
      <c r="D2686" s="7"/>
      <c r="E2686" s="3" t="s">
        <v>6</v>
      </c>
      <c r="F2686" s="10">
        <v>0.15</v>
      </c>
    </row>
    <row r="2687" ht="13.5" customHeight="1">
      <c r="D2687" s="7"/>
      <c r="E2687" s="3" t="s">
        <v>8</v>
      </c>
      <c r="F2687" s="10">
        <v>0.2</v>
      </c>
    </row>
    <row r="2688" ht="13.5" customHeight="1">
      <c r="B2688" s="5" t="s">
        <v>555</v>
      </c>
      <c r="D2688" s="7"/>
      <c r="E2688" s="3" t="s">
        <v>10</v>
      </c>
      <c r="F2688" s="10">
        <v>0.19</v>
      </c>
    </row>
    <row r="2689" ht="13.5" customHeight="1">
      <c r="A2689" s="14" t="s">
        <v>11</v>
      </c>
      <c r="D2689" s="7"/>
      <c r="E2689" s="9"/>
      <c r="F2689" s="9"/>
    </row>
    <row r="2690" ht="13.5" customHeight="1">
      <c r="A2690" s="18" t="s">
        <v>15</v>
      </c>
      <c r="B2690" s="18" t="s">
        <v>17</v>
      </c>
      <c r="C2690" s="18" t="s">
        <v>18</v>
      </c>
      <c r="D2690" s="18" t="s">
        <v>19</v>
      </c>
      <c r="E2690" s="18" t="s">
        <v>20</v>
      </c>
      <c r="F2690" s="18" t="s">
        <v>21</v>
      </c>
    </row>
    <row r="2691" ht="13.5" customHeight="1">
      <c r="A2691" s="21" t="s">
        <v>22</v>
      </c>
      <c r="B2691" s="21" t="s">
        <v>556</v>
      </c>
      <c r="C2691" s="21" t="s">
        <v>30</v>
      </c>
      <c r="D2691" s="21">
        <v>1.0</v>
      </c>
      <c r="E2691" s="279">
        <v>31933.0</v>
      </c>
      <c r="F2691" s="33">
        <f t="shared" ref="F2691:F2693" si="132">ROUND(IFERROR(D2691*E2691,0),0)</f>
        <v>31933</v>
      </c>
    </row>
    <row r="2692" ht="13.5" customHeight="1">
      <c r="A2692" s="21" t="s">
        <v>27</v>
      </c>
      <c r="B2692" s="21" t="s">
        <v>553</v>
      </c>
      <c r="C2692" s="21" t="s">
        <v>34</v>
      </c>
      <c r="D2692" s="21">
        <v>1.0</v>
      </c>
      <c r="E2692" s="279">
        <v>1200.0</v>
      </c>
      <c r="F2692" s="33">
        <f t="shared" si="132"/>
        <v>1200</v>
      </c>
    </row>
    <row r="2693" ht="13.5" customHeight="1">
      <c r="A2693" s="21" t="s">
        <v>32</v>
      </c>
      <c r="B2693" s="21" t="s">
        <v>554</v>
      </c>
      <c r="C2693" s="21" t="s">
        <v>34</v>
      </c>
      <c r="D2693" s="21">
        <v>1.0</v>
      </c>
      <c r="E2693" s="279">
        <v>800.0</v>
      </c>
      <c r="F2693" s="33">
        <f t="shared" si="132"/>
        <v>800</v>
      </c>
    </row>
    <row r="2694" ht="13.5" customHeight="1">
      <c r="A2694" s="21" t="s">
        <v>99</v>
      </c>
      <c r="B2694" s="21"/>
      <c r="C2694" s="21"/>
      <c r="D2694" s="21"/>
      <c r="E2694" s="279"/>
      <c r="F2694" s="33">
        <f>IFERROR(D2694*E2694,0)</f>
        <v>0</v>
      </c>
    </row>
    <row r="2695" ht="13.5" customHeight="1">
      <c r="A2695" s="21"/>
      <c r="B2695" s="21"/>
      <c r="C2695" s="21"/>
      <c r="D2695" s="21"/>
      <c r="E2695" s="279"/>
      <c r="F2695" s="33"/>
    </row>
    <row r="2696" ht="13.5" customHeight="1">
      <c r="A2696" s="21"/>
      <c r="B2696" s="21"/>
      <c r="C2696" s="21"/>
      <c r="D2696" s="21"/>
      <c r="E2696" s="279"/>
      <c r="F2696" s="33"/>
    </row>
    <row r="2697" ht="13.5" customHeight="1">
      <c r="D2697" s="7"/>
      <c r="E2697" s="14" t="s">
        <v>37</v>
      </c>
      <c r="F2697" s="46">
        <f>SUM(F2691:F2696)</f>
        <v>33933</v>
      </c>
    </row>
    <row r="2698" ht="13.5" customHeight="1">
      <c r="D2698" s="7"/>
      <c r="E2698" s="9"/>
      <c r="F2698" s="9"/>
    </row>
    <row r="2699" ht="13.5" customHeight="1">
      <c r="A2699" s="14" t="s">
        <v>44</v>
      </c>
      <c r="D2699" s="7"/>
      <c r="E2699" s="9"/>
      <c r="F2699" s="9"/>
    </row>
    <row r="2700" ht="13.5" customHeight="1">
      <c r="A2700" s="18" t="s">
        <v>15</v>
      </c>
      <c r="B2700" s="18" t="s">
        <v>17</v>
      </c>
      <c r="C2700" s="18" t="s">
        <v>18</v>
      </c>
      <c r="D2700" s="18" t="s">
        <v>19</v>
      </c>
      <c r="E2700" s="18" t="s">
        <v>20</v>
      </c>
      <c r="F2700" s="18" t="s">
        <v>21</v>
      </c>
    </row>
    <row r="2701" ht="13.5" customHeight="1">
      <c r="A2701" s="21" t="s">
        <v>22</v>
      </c>
      <c r="B2701" s="21" t="s">
        <v>345</v>
      </c>
      <c r="C2701" s="21" t="s">
        <v>51</v>
      </c>
      <c r="D2701" s="187">
        <f>ROUND(1/B2685,2)</f>
        <v>0.06</v>
      </c>
      <c r="E2701" s="21">
        <v>65000.0</v>
      </c>
      <c r="F2701" s="33">
        <f t="shared" ref="F2701:F2702" si="133">ROUND(IFERROR(D2701*E2701,0),0)</f>
        <v>3900</v>
      </c>
    </row>
    <row r="2702" ht="13.5" customHeight="1">
      <c r="A2702" s="21" t="s">
        <v>27</v>
      </c>
      <c r="B2702" s="21" t="s">
        <v>54</v>
      </c>
      <c r="C2702" s="21" t="s">
        <v>51</v>
      </c>
      <c r="D2702" s="187">
        <f>ROUND(1/B2685,2)</f>
        <v>0.06</v>
      </c>
      <c r="E2702" s="21">
        <v>50000.0</v>
      </c>
      <c r="F2702" s="33">
        <f t="shared" si="133"/>
        <v>3000</v>
      </c>
    </row>
    <row r="2703" ht="13.5" customHeight="1">
      <c r="D2703" s="7"/>
      <c r="E2703" s="14" t="s">
        <v>37</v>
      </c>
      <c r="F2703" s="46">
        <f>SUM(F2701:F2702)</f>
        <v>6900</v>
      </c>
    </row>
    <row r="2704" ht="13.5" customHeight="1">
      <c r="D2704" s="7"/>
      <c r="E2704" s="14" t="s">
        <v>59</v>
      </c>
      <c r="F2704" s="46">
        <f>ROUND(F2703*0.5,0)</f>
        <v>3450</v>
      </c>
    </row>
    <row r="2705" ht="13.5" customHeight="1">
      <c r="D2705" s="7"/>
      <c r="E2705" s="14" t="s">
        <v>60</v>
      </c>
      <c r="F2705" s="46">
        <f>F2703+F2704</f>
        <v>10350</v>
      </c>
    </row>
    <row r="2706" ht="13.5" customHeight="1">
      <c r="D2706" s="7"/>
      <c r="E2706" s="9"/>
      <c r="F2706" s="9"/>
    </row>
    <row r="2707" ht="13.5" customHeight="1">
      <c r="A2707" s="14" t="s">
        <v>62</v>
      </c>
      <c r="D2707" s="7"/>
      <c r="E2707" s="9"/>
      <c r="F2707" s="9"/>
    </row>
    <row r="2708" ht="13.5" customHeight="1">
      <c r="A2708" s="18" t="s">
        <v>15</v>
      </c>
      <c r="B2708" s="18" t="s">
        <v>17</v>
      </c>
      <c r="C2708" s="18" t="s">
        <v>18</v>
      </c>
      <c r="D2708" s="18" t="s">
        <v>19</v>
      </c>
      <c r="E2708" s="18" t="s">
        <v>20</v>
      </c>
      <c r="F2708" s="18" t="s">
        <v>21</v>
      </c>
    </row>
    <row r="2709" ht="13.5" customHeight="1">
      <c r="A2709" s="21" t="s">
        <v>22</v>
      </c>
      <c r="B2709" s="21" t="s">
        <v>394</v>
      </c>
      <c r="C2709" s="21" t="s">
        <v>51</v>
      </c>
      <c r="D2709" s="144">
        <f>ROUND(1/B2685,2)</f>
        <v>0.06</v>
      </c>
      <c r="E2709" s="21">
        <v>45000.0</v>
      </c>
      <c r="F2709" s="33">
        <f>ROUND(IFERROR(D2709*E2709,0),0)</f>
        <v>2700</v>
      </c>
    </row>
    <row r="2710" ht="13.5" customHeight="1">
      <c r="A2710" s="21"/>
      <c r="B2710" s="21"/>
      <c r="C2710" s="21"/>
      <c r="D2710" s="144"/>
      <c r="E2710" s="21"/>
      <c r="F2710" s="33"/>
    </row>
    <row r="2711" ht="13.5" customHeight="1">
      <c r="D2711" s="7"/>
      <c r="E2711" s="14" t="s">
        <v>37</v>
      </c>
      <c r="F2711" s="46">
        <f>SUM(F2709:F2710)</f>
        <v>2700</v>
      </c>
    </row>
    <row r="2712" ht="13.5" customHeight="1">
      <c r="D2712" s="7"/>
      <c r="E2712" s="9"/>
      <c r="F2712" s="9"/>
    </row>
    <row r="2713" ht="13.5" customHeight="1">
      <c r="A2713" s="14" t="s">
        <v>74</v>
      </c>
      <c r="D2713" s="7"/>
      <c r="E2713" s="9"/>
      <c r="F2713" s="9"/>
    </row>
    <row r="2714" ht="13.5" customHeight="1">
      <c r="A2714" s="18"/>
      <c r="B2714" s="18" t="s">
        <v>17</v>
      </c>
      <c r="C2714" s="18" t="s">
        <v>18</v>
      </c>
      <c r="D2714" s="18" t="s">
        <v>19</v>
      </c>
      <c r="E2714" s="18" t="s">
        <v>20</v>
      </c>
      <c r="F2714" s="18" t="s">
        <v>21</v>
      </c>
    </row>
    <row r="2715" ht="13.5" customHeight="1">
      <c r="D2715" s="7"/>
      <c r="E2715" s="14" t="s">
        <v>77</v>
      </c>
      <c r="F2715" s="46">
        <f>F2697+F2705+F2711</f>
        <v>46983</v>
      </c>
    </row>
    <row r="2716" ht="13.5" customHeight="1">
      <c r="D2716" s="7"/>
      <c r="E2716" s="14" t="s">
        <v>6</v>
      </c>
      <c r="F2716" s="46">
        <f>ROUND(F2715*F2686,0)</f>
        <v>7047</v>
      </c>
    </row>
    <row r="2717" ht="13.5" customHeight="1">
      <c r="D2717" s="7"/>
      <c r="E2717" s="14" t="s">
        <v>8</v>
      </c>
      <c r="F2717" s="46">
        <f>ROUND(F2715*F2687,0)</f>
        <v>9397</v>
      </c>
    </row>
    <row r="2718" ht="13.5" customHeight="1">
      <c r="D2718" s="7"/>
      <c r="E2718" s="14" t="s">
        <v>81</v>
      </c>
      <c r="F2718" s="46">
        <f>F2715+F2716+F2717</f>
        <v>63427</v>
      </c>
    </row>
    <row r="2719" ht="13.5" customHeight="1">
      <c r="D2719" s="7"/>
      <c r="E2719" s="14" t="s">
        <v>82</v>
      </c>
      <c r="F2719" s="46">
        <f>ROUND(F2718*F2688,0)</f>
        <v>12051</v>
      </c>
    </row>
    <row r="2720" ht="13.5" customHeight="1">
      <c r="D2720" s="14" t="s">
        <v>425</v>
      </c>
      <c r="E2720" s="18" t="s">
        <v>84</v>
      </c>
      <c r="F2720" s="53">
        <f>F2718+F2719</f>
        <v>75478</v>
      </c>
    </row>
    <row r="2721" ht="13.5" customHeight="1"/>
    <row r="2722" ht="13.5" customHeight="1"/>
    <row r="2723" ht="13.5" customHeight="1"/>
    <row r="2724" ht="13.5" customHeight="1"/>
    <row r="2725" ht="13.5" customHeight="1"/>
    <row r="2726" ht="13.5" customHeight="1"/>
    <row r="2727" ht="13.5" customHeight="1"/>
    <row r="2728" ht="13.5" customHeight="1"/>
    <row r="2729" ht="13.5" customHeight="1">
      <c r="A2729" s="3" t="s">
        <v>1</v>
      </c>
      <c r="B2729" s="5">
        <v>30.0</v>
      </c>
      <c r="C2729" s="3" t="s">
        <v>2</v>
      </c>
      <c r="D2729" s="7"/>
      <c r="E2729" s="3" t="s">
        <v>3</v>
      </c>
      <c r="F2729" s="9"/>
    </row>
    <row r="2730" ht="13.5" customHeight="1">
      <c r="A2730" s="3" t="s">
        <v>4</v>
      </c>
      <c r="B2730" s="5" t="s">
        <v>30</v>
      </c>
      <c r="D2730" s="7"/>
      <c r="E2730" s="3" t="s">
        <v>6</v>
      </c>
      <c r="F2730" s="10">
        <v>0.15</v>
      </c>
    </row>
    <row r="2731" ht="13.5" customHeight="1">
      <c r="D2731" s="7"/>
      <c r="E2731" s="3" t="s">
        <v>8</v>
      </c>
      <c r="F2731" s="10">
        <v>0.2</v>
      </c>
    </row>
    <row r="2732" ht="13.5" customHeight="1">
      <c r="B2732" s="5" t="s">
        <v>557</v>
      </c>
      <c r="D2732" s="7"/>
      <c r="E2732" s="3" t="s">
        <v>10</v>
      </c>
      <c r="F2732" s="10">
        <v>0.19</v>
      </c>
    </row>
    <row r="2733" ht="13.5" customHeight="1">
      <c r="A2733" s="14" t="s">
        <v>11</v>
      </c>
      <c r="D2733" s="7"/>
      <c r="E2733" s="9"/>
      <c r="F2733" s="9"/>
    </row>
    <row r="2734" ht="13.5" customHeight="1">
      <c r="A2734" s="18" t="s">
        <v>15</v>
      </c>
      <c r="B2734" s="18" t="s">
        <v>17</v>
      </c>
      <c r="C2734" s="18" t="s">
        <v>18</v>
      </c>
      <c r="D2734" s="18" t="s">
        <v>19</v>
      </c>
      <c r="E2734" s="18" t="s">
        <v>20</v>
      </c>
      <c r="F2734" s="18" t="s">
        <v>21</v>
      </c>
    </row>
    <row r="2735" ht="13.5" customHeight="1">
      <c r="A2735" s="21" t="s">
        <v>22</v>
      </c>
      <c r="B2735" s="21" t="s">
        <v>558</v>
      </c>
      <c r="C2735" s="21" t="s">
        <v>30</v>
      </c>
      <c r="D2735" s="21">
        <v>1.0</v>
      </c>
      <c r="E2735" s="279">
        <v>7332.0</v>
      </c>
      <c r="F2735" s="33">
        <f t="shared" ref="F2735:F2737" si="134">ROUND(IFERROR(D2735*E2735,0),0)</f>
        <v>7332</v>
      </c>
    </row>
    <row r="2736" ht="13.5" customHeight="1">
      <c r="A2736" s="21" t="s">
        <v>27</v>
      </c>
      <c r="B2736" s="21" t="s">
        <v>553</v>
      </c>
      <c r="C2736" s="21" t="s">
        <v>34</v>
      </c>
      <c r="D2736" s="21">
        <v>1.0</v>
      </c>
      <c r="E2736" s="279">
        <v>1200.0</v>
      </c>
      <c r="F2736" s="33">
        <f t="shared" si="134"/>
        <v>1200</v>
      </c>
    </row>
    <row r="2737" ht="13.5" customHeight="1">
      <c r="A2737" s="21" t="s">
        <v>32</v>
      </c>
      <c r="B2737" s="21" t="s">
        <v>554</v>
      </c>
      <c r="C2737" s="21" t="s">
        <v>34</v>
      </c>
      <c r="D2737" s="21">
        <v>1.0</v>
      </c>
      <c r="E2737" s="279">
        <v>800.0</v>
      </c>
      <c r="F2737" s="33">
        <f t="shared" si="134"/>
        <v>800</v>
      </c>
    </row>
    <row r="2738" ht="13.5" customHeight="1">
      <c r="A2738" s="21" t="s">
        <v>99</v>
      </c>
      <c r="B2738" s="21"/>
      <c r="C2738" s="21"/>
      <c r="D2738" s="21"/>
      <c r="E2738" s="279"/>
      <c r="F2738" s="33">
        <f>IFERROR(D2738*E2738,0)</f>
        <v>0</v>
      </c>
    </row>
    <row r="2739" ht="13.5" customHeight="1">
      <c r="A2739" s="21"/>
      <c r="B2739" s="21"/>
      <c r="C2739" s="21"/>
      <c r="D2739" s="21"/>
      <c r="E2739" s="279"/>
      <c r="F2739" s="33"/>
    </row>
    <row r="2740" ht="13.5" customHeight="1">
      <c r="A2740" s="21"/>
      <c r="B2740" s="21"/>
      <c r="C2740" s="21"/>
      <c r="D2740" s="21"/>
      <c r="E2740" s="279"/>
      <c r="F2740" s="33"/>
    </row>
    <row r="2741" ht="13.5" customHeight="1">
      <c r="D2741" s="7"/>
      <c r="E2741" s="14" t="s">
        <v>37</v>
      </c>
      <c r="F2741" s="46">
        <f>SUM(F2735:F2740)</f>
        <v>9332</v>
      </c>
    </row>
    <row r="2742" ht="13.5" customHeight="1">
      <c r="D2742" s="7"/>
      <c r="E2742" s="9"/>
      <c r="F2742" s="9"/>
    </row>
    <row r="2743" ht="13.5" customHeight="1">
      <c r="A2743" s="14" t="s">
        <v>44</v>
      </c>
      <c r="D2743" s="7"/>
      <c r="E2743" s="9"/>
      <c r="F2743" s="9"/>
    </row>
    <row r="2744" ht="13.5" customHeight="1">
      <c r="A2744" s="18" t="s">
        <v>15</v>
      </c>
      <c r="B2744" s="18" t="s">
        <v>17</v>
      </c>
      <c r="C2744" s="18" t="s">
        <v>18</v>
      </c>
      <c r="D2744" s="18" t="s">
        <v>19</v>
      </c>
      <c r="E2744" s="18" t="s">
        <v>20</v>
      </c>
      <c r="F2744" s="18" t="s">
        <v>21</v>
      </c>
    </row>
    <row r="2745" ht="13.5" customHeight="1">
      <c r="A2745" s="21" t="s">
        <v>22</v>
      </c>
      <c r="B2745" s="21" t="s">
        <v>345</v>
      </c>
      <c r="C2745" s="21" t="s">
        <v>51</v>
      </c>
      <c r="D2745" s="187">
        <f>ROUND(1/B2729,2)</f>
        <v>0.03</v>
      </c>
      <c r="E2745" s="21">
        <v>65000.0</v>
      </c>
      <c r="F2745" s="33">
        <f t="shared" ref="F2745:F2746" si="135">ROUND(IFERROR(D2745*E2745,0),0)</f>
        <v>1950</v>
      </c>
    </row>
    <row r="2746" ht="13.5" customHeight="1">
      <c r="A2746" s="21" t="s">
        <v>27</v>
      </c>
      <c r="B2746" s="21" t="s">
        <v>54</v>
      </c>
      <c r="C2746" s="21" t="s">
        <v>51</v>
      </c>
      <c r="D2746" s="187">
        <f>ROUND(1/B2729,2)</f>
        <v>0.03</v>
      </c>
      <c r="E2746" s="21">
        <v>50000.0</v>
      </c>
      <c r="F2746" s="33">
        <f t="shared" si="135"/>
        <v>1500</v>
      </c>
    </row>
    <row r="2747" ht="13.5" customHeight="1">
      <c r="D2747" s="7"/>
      <c r="E2747" s="14" t="s">
        <v>37</v>
      </c>
      <c r="F2747" s="46">
        <f>SUM(F2745:F2746)</f>
        <v>3450</v>
      </c>
    </row>
    <row r="2748" ht="13.5" customHeight="1">
      <c r="D2748" s="7"/>
      <c r="E2748" s="14" t="s">
        <v>59</v>
      </c>
      <c r="F2748" s="46">
        <f>ROUND(F2747*0.5,0)</f>
        <v>1725</v>
      </c>
    </row>
    <row r="2749" ht="13.5" customHeight="1">
      <c r="D2749" s="7"/>
      <c r="E2749" s="14" t="s">
        <v>60</v>
      </c>
      <c r="F2749" s="46">
        <f>F2747+F2748</f>
        <v>5175</v>
      </c>
    </row>
    <row r="2750" ht="13.5" customHeight="1">
      <c r="D2750" s="7"/>
      <c r="E2750" s="9"/>
      <c r="F2750" s="9"/>
    </row>
    <row r="2751" ht="13.5" customHeight="1">
      <c r="A2751" s="14" t="s">
        <v>62</v>
      </c>
      <c r="D2751" s="7"/>
      <c r="E2751" s="9"/>
      <c r="F2751" s="9"/>
    </row>
    <row r="2752" ht="13.5" customHeight="1">
      <c r="A2752" s="18" t="s">
        <v>15</v>
      </c>
      <c r="B2752" s="18" t="s">
        <v>17</v>
      </c>
      <c r="C2752" s="18" t="s">
        <v>18</v>
      </c>
      <c r="D2752" s="18" t="s">
        <v>19</v>
      </c>
      <c r="E2752" s="18" t="s">
        <v>20</v>
      </c>
      <c r="F2752" s="18" t="s">
        <v>21</v>
      </c>
    </row>
    <row r="2753" ht="13.5" customHeight="1">
      <c r="A2753" s="21" t="s">
        <v>22</v>
      </c>
      <c r="B2753" s="21" t="s">
        <v>394</v>
      </c>
      <c r="C2753" s="21" t="s">
        <v>51</v>
      </c>
      <c r="D2753" s="144">
        <f>ROUND(1/B2729,2)</f>
        <v>0.03</v>
      </c>
      <c r="E2753" s="21">
        <v>45000.0</v>
      </c>
      <c r="F2753" s="33">
        <f>ROUND(IFERROR(D2753*E2753,0),0)</f>
        <v>1350</v>
      </c>
    </row>
    <row r="2754" ht="13.5" customHeight="1">
      <c r="A2754" s="21"/>
      <c r="B2754" s="21"/>
      <c r="C2754" s="21"/>
      <c r="D2754" s="144"/>
      <c r="E2754" s="21"/>
      <c r="F2754" s="33"/>
    </row>
    <row r="2755" ht="13.5" customHeight="1">
      <c r="D2755" s="7"/>
      <c r="E2755" s="14" t="s">
        <v>37</v>
      </c>
      <c r="F2755" s="46">
        <f>SUM(F2753:F2754)</f>
        <v>1350</v>
      </c>
    </row>
    <row r="2756" ht="13.5" customHeight="1">
      <c r="D2756" s="7"/>
      <c r="E2756" s="9"/>
      <c r="F2756" s="9"/>
    </row>
    <row r="2757" ht="13.5" customHeight="1">
      <c r="A2757" s="14" t="s">
        <v>74</v>
      </c>
      <c r="D2757" s="7"/>
      <c r="E2757" s="9"/>
      <c r="F2757" s="9"/>
    </row>
    <row r="2758" ht="13.5" customHeight="1">
      <c r="A2758" s="18"/>
      <c r="B2758" s="18" t="s">
        <v>17</v>
      </c>
      <c r="C2758" s="18" t="s">
        <v>18</v>
      </c>
      <c r="D2758" s="18" t="s">
        <v>19</v>
      </c>
      <c r="E2758" s="18" t="s">
        <v>20</v>
      </c>
      <c r="F2758" s="18" t="s">
        <v>21</v>
      </c>
    </row>
    <row r="2759" ht="13.5" customHeight="1">
      <c r="D2759" s="7"/>
      <c r="E2759" s="14" t="s">
        <v>77</v>
      </c>
      <c r="F2759" s="46">
        <f>F2741+F2749+F2755</f>
        <v>15857</v>
      </c>
    </row>
    <row r="2760" ht="13.5" customHeight="1">
      <c r="D2760" s="7"/>
      <c r="E2760" s="14" t="s">
        <v>6</v>
      </c>
      <c r="F2760" s="46">
        <f>ROUND(F2759*F2730,0)</f>
        <v>2379</v>
      </c>
    </row>
    <row r="2761" ht="13.5" customHeight="1">
      <c r="D2761" s="7"/>
      <c r="E2761" s="14" t="s">
        <v>8</v>
      </c>
      <c r="F2761" s="46">
        <f>ROUND(F2759*F2731,0)</f>
        <v>3171</v>
      </c>
    </row>
    <row r="2762" ht="13.5" customHeight="1">
      <c r="D2762" s="7"/>
      <c r="E2762" s="14" t="s">
        <v>81</v>
      </c>
      <c r="F2762" s="46">
        <f>F2759+F2760+F2761</f>
        <v>21407</v>
      </c>
    </row>
    <row r="2763" ht="13.5" customHeight="1">
      <c r="D2763" s="7"/>
      <c r="E2763" s="14" t="s">
        <v>82</v>
      </c>
      <c r="F2763" s="46">
        <f>ROUND(F2762*F2732,0)</f>
        <v>4067</v>
      </c>
    </row>
    <row r="2764" ht="13.5" customHeight="1">
      <c r="D2764" s="14" t="s">
        <v>425</v>
      </c>
      <c r="E2764" s="18" t="s">
        <v>84</v>
      </c>
      <c r="F2764" s="53">
        <f>F2762+F2763</f>
        <v>25474</v>
      </c>
    </row>
    <row r="2765" ht="13.5" customHeight="1"/>
    <row r="2766" ht="13.5" customHeight="1"/>
    <row r="2767" ht="13.5" customHeight="1"/>
    <row r="2768" ht="13.5" customHeight="1"/>
    <row r="2769" ht="13.5" customHeight="1"/>
    <row r="2770" ht="13.5" customHeight="1"/>
    <row r="2771" ht="13.5" customHeight="1"/>
    <row r="2772" ht="13.5" customHeight="1"/>
    <row r="2773" ht="13.5" customHeight="1">
      <c r="A2773" s="3" t="s">
        <v>1</v>
      </c>
      <c r="B2773" s="5">
        <v>15.0</v>
      </c>
      <c r="C2773" s="3" t="s">
        <v>2</v>
      </c>
      <c r="D2773" s="7"/>
      <c r="E2773" s="3" t="s">
        <v>3</v>
      </c>
      <c r="F2773" s="9"/>
    </row>
    <row r="2774" ht="13.5" customHeight="1">
      <c r="A2774" s="3" t="s">
        <v>4</v>
      </c>
      <c r="B2774" s="5" t="s">
        <v>30</v>
      </c>
      <c r="D2774" s="7"/>
      <c r="E2774" s="3" t="s">
        <v>6</v>
      </c>
      <c r="F2774" s="10">
        <v>0.15</v>
      </c>
    </row>
    <row r="2775" ht="13.5" customHeight="1">
      <c r="D2775" s="7"/>
      <c r="E2775" s="3" t="s">
        <v>8</v>
      </c>
      <c r="F2775" s="10">
        <v>0.2</v>
      </c>
    </row>
    <row r="2776" ht="13.5" customHeight="1">
      <c r="B2776" s="5" t="s">
        <v>559</v>
      </c>
      <c r="D2776" s="7"/>
      <c r="E2776" s="3" t="s">
        <v>10</v>
      </c>
      <c r="F2776" s="10">
        <v>0.19</v>
      </c>
    </row>
    <row r="2777" ht="13.5" customHeight="1">
      <c r="A2777" s="14" t="s">
        <v>11</v>
      </c>
      <c r="D2777" s="7"/>
      <c r="E2777" s="9"/>
      <c r="F2777" s="9"/>
    </row>
    <row r="2778" ht="13.5" customHeight="1">
      <c r="A2778" s="18" t="s">
        <v>15</v>
      </c>
      <c r="B2778" s="18" t="s">
        <v>17</v>
      </c>
      <c r="C2778" s="18" t="s">
        <v>18</v>
      </c>
      <c r="D2778" s="18" t="s">
        <v>19</v>
      </c>
      <c r="E2778" s="18" t="s">
        <v>20</v>
      </c>
      <c r="F2778" s="18" t="s">
        <v>21</v>
      </c>
    </row>
    <row r="2779" ht="13.5" customHeight="1">
      <c r="A2779" s="21" t="s">
        <v>22</v>
      </c>
      <c r="B2779" s="21" t="s">
        <v>560</v>
      </c>
      <c r="C2779" s="21" t="s">
        <v>30</v>
      </c>
      <c r="D2779" s="21">
        <v>1.0</v>
      </c>
      <c r="E2779" s="279">
        <v>95000.0</v>
      </c>
      <c r="F2779" s="33">
        <f t="shared" ref="F2779:F2780" si="136">ROUND(IFERROR(D2779*E2779,0),0)</f>
        <v>95000</v>
      </c>
    </row>
    <row r="2780" ht="13.5" customHeight="1">
      <c r="A2780" s="21" t="s">
        <v>27</v>
      </c>
      <c r="B2780" s="21" t="s">
        <v>561</v>
      </c>
      <c r="C2780" s="21" t="s">
        <v>34</v>
      </c>
      <c r="D2780" s="21">
        <v>1.0</v>
      </c>
      <c r="E2780" s="279">
        <v>1500.0</v>
      </c>
      <c r="F2780" s="33">
        <f t="shared" si="136"/>
        <v>1500</v>
      </c>
    </row>
    <row r="2781" ht="13.5" customHeight="1">
      <c r="A2781" s="21"/>
      <c r="B2781" s="21"/>
      <c r="C2781" s="21"/>
      <c r="D2781" s="21"/>
      <c r="E2781" s="279"/>
      <c r="F2781" s="33"/>
    </row>
    <row r="2782" ht="13.5" customHeight="1">
      <c r="A2782" s="21"/>
      <c r="B2782" s="21"/>
      <c r="C2782" s="21"/>
      <c r="D2782" s="21"/>
      <c r="E2782" s="279"/>
      <c r="F2782" s="33"/>
    </row>
    <row r="2783" ht="13.5" customHeight="1">
      <c r="A2783" s="21"/>
      <c r="B2783" s="21"/>
      <c r="C2783" s="21"/>
      <c r="D2783" s="21"/>
      <c r="E2783" s="279"/>
      <c r="F2783" s="33"/>
    </row>
    <row r="2784" ht="13.5" customHeight="1">
      <c r="A2784" s="21"/>
      <c r="B2784" s="21"/>
      <c r="C2784" s="21"/>
      <c r="D2784" s="21"/>
      <c r="E2784" s="279"/>
      <c r="F2784" s="33"/>
    </row>
    <row r="2785" ht="13.5" customHeight="1">
      <c r="D2785" s="7"/>
      <c r="E2785" s="14" t="s">
        <v>37</v>
      </c>
      <c r="F2785" s="46">
        <f>SUM(F2779:F2784)</f>
        <v>96500</v>
      </c>
    </row>
    <row r="2786" ht="13.5" customHeight="1">
      <c r="D2786" s="7"/>
      <c r="E2786" s="9"/>
      <c r="F2786" s="9"/>
    </row>
    <row r="2787" ht="13.5" customHeight="1">
      <c r="A2787" s="14" t="s">
        <v>44</v>
      </c>
      <c r="D2787" s="7"/>
      <c r="E2787" s="9"/>
      <c r="F2787" s="9"/>
    </row>
    <row r="2788" ht="13.5" customHeight="1">
      <c r="A2788" s="18" t="s">
        <v>15</v>
      </c>
      <c r="B2788" s="18" t="s">
        <v>17</v>
      </c>
      <c r="C2788" s="18" t="s">
        <v>18</v>
      </c>
      <c r="D2788" s="18" t="s">
        <v>19</v>
      </c>
      <c r="E2788" s="18" t="s">
        <v>20</v>
      </c>
      <c r="F2788" s="18" t="s">
        <v>21</v>
      </c>
    </row>
    <row r="2789" ht="13.5" customHeight="1">
      <c r="A2789" s="21" t="s">
        <v>22</v>
      </c>
      <c r="B2789" s="21" t="s">
        <v>345</v>
      </c>
      <c r="C2789" s="21" t="s">
        <v>51</v>
      </c>
      <c r="D2789" s="187">
        <f>ROUND(1/B2773,2)</f>
        <v>0.07</v>
      </c>
      <c r="E2789" s="21">
        <v>65000.0</v>
      </c>
      <c r="F2789" s="33">
        <f t="shared" ref="F2789:F2790" si="137">ROUND(IFERROR(D2789*E2789,0),0)</f>
        <v>4550</v>
      </c>
    </row>
    <row r="2790" ht="13.5" customHeight="1">
      <c r="A2790" s="21" t="s">
        <v>27</v>
      </c>
      <c r="B2790" s="21" t="s">
        <v>54</v>
      </c>
      <c r="C2790" s="21" t="s">
        <v>51</v>
      </c>
      <c r="D2790" s="187">
        <f>ROUND(1/B2773,2)</f>
        <v>0.07</v>
      </c>
      <c r="E2790" s="21">
        <v>50000.0</v>
      </c>
      <c r="F2790" s="33">
        <f t="shared" si="137"/>
        <v>3500</v>
      </c>
    </row>
    <row r="2791" ht="13.5" customHeight="1">
      <c r="D2791" s="7"/>
      <c r="E2791" s="14" t="s">
        <v>37</v>
      </c>
      <c r="F2791" s="46">
        <f>SUM(F2789:F2790)</f>
        <v>8050</v>
      </c>
    </row>
    <row r="2792" ht="13.5" customHeight="1">
      <c r="D2792" s="7"/>
      <c r="E2792" s="14" t="s">
        <v>59</v>
      </c>
      <c r="F2792" s="46">
        <f>ROUND(F2791*0.5,0)</f>
        <v>4025</v>
      </c>
    </row>
    <row r="2793" ht="13.5" customHeight="1">
      <c r="D2793" s="7"/>
      <c r="E2793" s="14" t="s">
        <v>60</v>
      </c>
      <c r="F2793" s="46">
        <f>F2791+F2792</f>
        <v>12075</v>
      </c>
    </row>
    <row r="2794" ht="13.5" customHeight="1">
      <c r="D2794" s="7"/>
      <c r="E2794" s="9"/>
      <c r="F2794" s="9"/>
    </row>
    <row r="2795" ht="13.5" customHeight="1">
      <c r="A2795" s="14" t="s">
        <v>62</v>
      </c>
      <c r="D2795" s="7"/>
      <c r="E2795" s="9"/>
      <c r="F2795" s="9"/>
    </row>
    <row r="2796" ht="13.5" customHeight="1">
      <c r="A2796" s="18" t="s">
        <v>15</v>
      </c>
      <c r="B2796" s="18" t="s">
        <v>17</v>
      </c>
      <c r="C2796" s="18" t="s">
        <v>18</v>
      </c>
      <c r="D2796" s="18" t="s">
        <v>19</v>
      </c>
      <c r="E2796" s="18" t="s">
        <v>20</v>
      </c>
      <c r="F2796" s="18" t="s">
        <v>21</v>
      </c>
    </row>
    <row r="2797" ht="13.5" customHeight="1">
      <c r="A2797" s="21" t="s">
        <v>22</v>
      </c>
      <c r="B2797" s="21" t="s">
        <v>394</v>
      </c>
      <c r="C2797" s="21" t="s">
        <v>51</v>
      </c>
      <c r="D2797" s="144">
        <f>ROUND(1/B2773,2)</f>
        <v>0.07</v>
      </c>
      <c r="E2797" s="21">
        <v>45000.0</v>
      </c>
      <c r="F2797" s="33">
        <f>ROUND(IFERROR(D2797*E2797,0),0)</f>
        <v>3150</v>
      </c>
    </row>
    <row r="2798" ht="13.5" customHeight="1">
      <c r="A2798" s="21"/>
      <c r="B2798" s="21"/>
      <c r="C2798" s="21"/>
      <c r="D2798" s="144"/>
      <c r="E2798" s="21"/>
      <c r="F2798" s="33"/>
    </row>
    <row r="2799" ht="13.5" customHeight="1">
      <c r="D2799" s="7"/>
      <c r="E2799" s="14" t="s">
        <v>37</v>
      </c>
      <c r="F2799" s="46">
        <f>SUM(F2797:F2798)</f>
        <v>3150</v>
      </c>
    </row>
    <row r="2800" ht="13.5" customHeight="1">
      <c r="D2800" s="7"/>
      <c r="E2800" s="9"/>
      <c r="F2800" s="9"/>
    </row>
    <row r="2801" ht="13.5" customHeight="1">
      <c r="A2801" s="14" t="s">
        <v>74</v>
      </c>
      <c r="D2801" s="7"/>
      <c r="E2801" s="9"/>
      <c r="F2801" s="9"/>
    </row>
    <row r="2802" ht="13.5" customHeight="1">
      <c r="A2802" s="18"/>
      <c r="B2802" s="18" t="s">
        <v>17</v>
      </c>
      <c r="C2802" s="18" t="s">
        <v>18</v>
      </c>
      <c r="D2802" s="18" t="s">
        <v>19</v>
      </c>
      <c r="E2802" s="18" t="s">
        <v>20</v>
      </c>
      <c r="F2802" s="18" t="s">
        <v>21</v>
      </c>
    </row>
    <row r="2803" ht="13.5" customHeight="1">
      <c r="D2803" s="7"/>
      <c r="E2803" s="14" t="s">
        <v>77</v>
      </c>
      <c r="F2803" s="46">
        <f>F2785+F2793+F2799</f>
        <v>111725</v>
      </c>
    </row>
    <row r="2804" ht="13.5" customHeight="1">
      <c r="D2804" s="7"/>
      <c r="E2804" s="14" t="s">
        <v>6</v>
      </c>
      <c r="F2804" s="46">
        <f>ROUND(F2803*F2774,0)</f>
        <v>16759</v>
      </c>
    </row>
    <row r="2805" ht="13.5" customHeight="1">
      <c r="D2805" s="7"/>
      <c r="E2805" s="14" t="s">
        <v>8</v>
      </c>
      <c r="F2805" s="46">
        <f>ROUND(F2803*F2775,0)</f>
        <v>22345</v>
      </c>
    </row>
    <row r="2806" ht="13.5" customHeight="1">
      <c r="D2806" s="7"/>
      <c r="E2806" s="14" t="s">
        <v>81</v>
      </c>
      <c r="F2806" s="46">
        <f>F2803+F2804+F2805</f>
        <v>150829</v>
      </c>
    </row>
    <row r="2807" ht="13.5" customHeight="1">
      <c r="D2807" s="7"/>
      <c r="E2807" s="14" t="s">
        <v>82</v>
      </c>
      <c r="F2807" s="46">
        <f>ROUND(F2806*F2776,0)</f>
        <v>28658</v>
      </c>
    </row>
    <row r="2808" ht="13.5" customHeight="1">
      <c r="D2808" s="14" t="s">
        <v>425</v>
      </c>
      <c r="E2808" s="18" t="s">
        <v>84</v>
      </c>
      <c r="F2808" s="53">
        <f>F2806+F2807</f>
        <v>179487</v>
      </c>
    </row>
    <row r="2809" ht="13.5" customHeight="1"/>
    <row r="2810" ht="13.5" customHeight="1"/>
    <row r="2811" ht="13.5" customHeight="1"/>
    <row r="2812" ht="13.5" customHeight="1"/>
    <row r="2813" ht="13.5" customHeight="1"/>
    <row r="2814" ht="13.5" customHeight="1"/>
    <row r="2815" ht="13.5" customHeight="1"/>
    <row r="2816" ht="13.5" customHeight="1"/>
    <row r="2817" ht="13.5" customHeight="1">
      <c r="A2817" s="3" t="s">
        <v>1</v>
      </c>
      <c r="B2817" s="5">
        <v>15.0</v>
      </c>
      <c r="C2817" s="3" t="s">
        <v>2</v>
      </c>
      <c r="D2817" s="7"/>
      <c r="E2817" s="3" t="s">
        <v>3</v>
      </c>
      <c r="F2817" s="9"/>
    </row>
    <row r="2818" ht="13.5" customHeight="1">
      <c r="A2818" s="3" t="s">
        <v>4</v>
      </c>
      <c r="B2818" s="5" t="s">
        <v>30</v>
      </c>
      <c r="D2818" s="7"/>
      <c r="E2818" s="3" t="s">
        <v>6</v>
      </c>
      <c r="F2818" s="10">
        <v>0.15</v>
      </c>
    </row>
    <row r="2819" ht="13.5" customHeight="1">
      <c r="D2819" s="7"/>
      <c r="E2819" s="3" t="s">
        <v>8</v>
      </c>
      <c r="F2819" s="10">
        <v>0.2</v>
      </c>
    </row>
    <row r="2820" ht="13.5" customHeight="1">
      <c r="B2820" s="5" t="s">
        <v>562</v>
      </c>
      <c r="D2820" s="7"/>
      <c r="E2820" s="3" t="s">
        <v>10</v>
      </c>
      <c r="F2820" s="10">
        <v>0.19</v>
      </c>
    </row>
    <row r="2821" ht="13.5" customHeight="1">
      <c r="A2821" s="14" t="s">
        <v>11</v>
      </c>
      <c r="D2821" s="7"/>
      <c r="E2821" s="9"/>
      <c r="F2821" s="9"/>
    </row>
    <row r="2822" ht="13.5" customHeight="1">
      <c r="A2822" s="18" t="s">
        <v>15</v>
      </c>
      <c r="B2822" s="18" t="s">
        <v>17</v>
      </c>
      <c r="C2822" s="18" t="s">
        <v>18</v>
      </c>
      <c r="D2822" s="18" t="s">
        <v>19</v>
      </c>
      <c r="E2822" s="18" t="s">
        <v>20</v>
      </c>
      <c r="F2822" s="18" t="s">
        <v>21</v>
      </c>
    </row>
    <row r="2823" ht="13.5" customHeight="1">
      <c r="A2823" s="21" t="s">
        <v>22</v>
      </c>
      <c r="B2823" s="21" t="s">
        <v>563</v>
      </c>
      <c r="C2823" s="21" t="s">
        <v>30</v>
      </c>
      <c r="D2823" s="21">
        <v>1.0</v>
      </c>
      <c r="E2823" s="279">
        <v>25000.0</v>
      </c>
      <c r="F2823" s="33">
        <f t="shared" ref="F2823:F2824" si="138">ROUND(IFERROR(D2823*E2823,0),0)</f>
        <v>25000</v>
      </c>
    </row>
    <row r="2824" ht="13.5" customHeight="1">
      <c r="A2824" s="21" t="s">
        <v>27</v>
      </c>
      <c r="B2824" s="21" t="s">
        <v>561</v>
      </c>
      <c r="C2824" s="21" t="s">
        <v>34</v>
      </c>
      <c r="D2824" s="21">
        <v>1.0</v>
      </c>
      <c r="E2824" s="279">
        <v>1500.0</v>
      </c>
      <c r="F2824" s="33">
        <f t="shared" si="138"/>
        <v>1500</v>
      </c>
    </row>
    <row r="2825" ht="13.5" customHeight="1">
      <c r="A2825" s="21"/>
      <c r="B2825" s="21"/>
      <c r="C2825" s="21"/>
      <c r="D2825" s="21"/>
      <c r="E2825" s="279"/>
      <c r="F2825" s="33"/>
    </row>
    <row r="2826" ht="13.5" customHeight="1">
      <c r="A2826" s="21"/>
      <c r="B2826" s="21"/>
      <c r="C2826" s="21"/>
      <c r="D2826" s="21"/>
      <c r="E2826" s="279"/>
      <c r="F2826" s="33"/>
    </row>
    <row r="2827" ht="13.5" customHeight="1">
      <c r="A2827" s="21"/>
      <c r="B2827" s="21"/>
      <c r="C2827" s="21"/>
      <c r="D2827" s="21"/>
      <c r="E2827" s="279"/>
      <c r="F2827" s="33"/>
    </row>
    <row r="2828" ht="13.5" customHeight="1">
      <c r="A2828" s="21"/>
      <c r="B2828" s="21"/>
      <c r="C2828" s="21"/>
      <c r="D2828" s="21"/>
      <c r="E2828" s="279"/>
      <c r="F2828" s="33"/>
    </row>
    <row r="2829" ht="13.5" customHeight="1">
      <c r="D2829" s="7"/>
      <c r="E2829" s="14" t="s">
        <v>37</v>
      </c>
      <c r="F2829" s="46">
        <f>SUM(F2823:F2828)</f>
        <v>26500</v>
      </c>
    </row>
    <row r="2830" ht="13.5" customHeight="1">
      <c r="D2830" s="7"/>
      <c r="E2830" s="9"/>
      <c r="F2830" s="9"/>
    </row>
    <row r="2831" ht="13.5" customHeight="1">
      <c r="A2831" s="14" t="s">
        <v>44</v>
      </c>
      <c r="D2831" s="7"/>
      <c r="E2831" s="9"/>
      <c r="F2831" s="9"/>
    </row>
    <row r="2832" ht="13.5" customHeight="1">
      <c r="A2832" s="18" t="s">
        <v>15</v>
      </c>
      <c r="B2832" s="18" t="s">
        <v>17</v>
      </c>
      <c r="C2832" s="18" t="s">
        <v>18</v>
      </c>
      <c r="D2832" s="18" t="s">
        <v>19</v>
      </c>
      <c r="E2832" s="18" t="s">
        <v>20</v>
      </c>
      <c r="F2832" s="18" t="s">
        <v>21</v>
      </c>
    </row>
    <row r="2833" ht="13.5" customHeight="1">
      <c r="A2833" s="21" t="s">
        <v>22</v>
      </c>
      <c r="B2833" s="21" t="s">
        <v>345</v>
      </c>
      <c r="C2833" s="21" t="s">
        <v>51</v>
      </c>
      <c r="D2833" s="187">
        <f>ROUND(1/B2817,2)</f>
        <v>0.07</v>
      </c>
      <c r="E2833" s="21">
        <v>65000.0</v>
      </c>
      <c r="F2833" s="33">
        <f t="shared" ref="F2833:F2834" si="139">ROUND(IFERROR(D2833*E2833,0),0)</f>
        <v>4550</v>
      </c>
    </row>
    <row r="2834" ht="13.5" customHeight="1">
      <c r="A2834" s="21" t="s">
        <v>27</v>
      </c>
      <c r="B2834" s="21" t="s">
        <v>54</v>
      </c>
      <c r="C2834" s="21" t="s">
        <v>51</v>
      </c>
      <c r="D2834" s="187">
        <f>ROUND(1/B2817,2)</f>
        <v>0.07</v>
      </c>
      <c r="E2834" s="21">
        <v>50000.0</v>
      </c>
      <c r="F2834" s="33">
        <f t="shared" si="139"/>
        <v>3500</v>
      </c>
    </row>
    <row r="2835" ht="13.5" customHeight="1">
      <c r="D2835" s="7"/>
      <c r="E2835" s="14" t="s">
        <v>37</v>
      </c>
      <c r="F2835" s="46">
        <f>SUM(F2833:F2834)</f>
        <v>8050</v>
      </c>
    </row>
    <row r="2836" ht="13.5" customHeight="1">
      <c r="D2836" s="7"/>
      <c r="E2836" s="14" t="s">
        <v>59</v>
      </c>
      <c r="F2836" s="46">
        <f>ROUND(F2835*0.5,0)</f>
        <v>4025</v>
      </c>
    </row>
    <row r="2837" ht="13.5" customHeight="1">
      <c r="D2837" s="7"/>
      <c r="E2837" s="14" t="s">
        <v>60</v>
      </c>
      <c r="F2837" s="46">
        <f>F2835+F2836</f>
        <v>12075</v>
      </c>
    </row>
    <row r="2838" ht="13.5" customHeight="1">
      <c r="D2838" s="7"/>
      <c r="E2838" s="9"/>
      <c r="F2838" s="9"/>
    </row>
    <row r="2839" ht="13.5" customHeight="1">
      <c r="A2839" s="14" t="s">
        <v>62</v>
      </c>
      <c r="D2839" s="7"/>
      <c r="E2839" s="9"/>
      <c r="F2839" s="9"/>
    </row>
    <row r="2840" ht="13.5" customHeight="1">
      <c r="A2840" s="18" t="s">
        <v>15</v>
      </c>
      <c r="B2840" s="18" t="s">
        <v>17</v>
      </c>
      <c r="C2840" s="18" t="s">
        <v>18</v>
      </c>
      <c r="D2840" s="18" t="s">
        <v>19</v>
      </c>
      <c r="E2840" s="18" t="s">
        <v>20</v>
      </c>
      <c r="F2840" s="18" t="s">
        <v>21</v>
      </c>
    </row>
    <row r="2841" ht="13.5" customHeight="1">
      <c r="A2841" s="21" t="s">
        <v>22</v>
      </c>
      <c r="B2841" s="21" t="s">
        <v>394</v>
      </c>
      <c r="C2841" s="21" t="s">
        <v>51</v>
      </c>
      <c r="D2841" s="144">
        <f>ROUND(1/B2817,2)</f>
        <v>0.07</v>
      </c>
      <c r="E2841" s="21">
        <v>45000.0</v>
      </c>
      <c r="F2841" s="33">
        <f>ROUND(IFERROR(D2841*E2841,0),0)</f>
        <v>3150</v>
      </c>
    </row>
    <row r="2842" ht="13.5" customHeight="1">
      <c r="A2842" s="21"/>
      <c r="B2842" s="21"/>
      <c r="C2842" s="21"/>
      <c r="D2842" s="144"/>
      <c r="E2842" s="21"/>
      <c r="F2842" s="33"/>
    </row>
    <row r="2843" ht="13.5" customHeight="1">
      <c r="D2843" s="7"/>
      <c r="E2843" s="14" t="s">
        <v>37</v>
      </c>
      <c r="F2843" s="46">
        <f>SUM(F2841:F2842)</f>
        <v>3150</v>
      </c>
    </row>
    <row r="2844" ht="13.5" customHeight="1">
      <c r="D2844" s="7"/>
      <c r="E2844" s="9"/>
      <c r="F2844" s="9"/>
    </row>
    <row r="2845" ht="13.5" customHeight="1">
      <c r="A2845" s="14" t="s">
        <v>74</v>
      </c>
      <c r="D2845" s="7"/>
      <c r="E2845" s="9"/>
      <c r="F2845" s="9"/>
    </row>
    <row r="2846" ht="13.5" customHeight="1">
      <c r="A2846" s="18"/>
      <c r="B2846" s="18" t="s">
        <v>17</v>
      </c>
      <c r="C2846" s="18" t="s">
        <v>18</v>
      </c>
      <c r="D2846" s="18" t="s">
        <v>19</v>
      </c>
      <c r="E2846" s="18" t="s">
        <v>20</v>
      </c>
      <c r="F2846" s="18" t="s">
        <v>21</v>
      </c>
    </row>
    <row r="2847" ht="13.5" customHeight="1">
      <c r="D2847" s="7"/>
      <c r="E2847" s="14" t="s">
        <v>77</v>
      </c>
      <c r="F2847" s="46">
        <f>F2829+F2837+F2843</f>
        <v>41725</v>
      </c>
    </row>
    <row r="2848" ht="13.5" customHeight="1">
      <c r="D2848" s="7"/>
      <c r="E2848" s="14" t="s">
        <v>6</v>
      </c>
      <c r="F2848" s="46">
        <f>ROUND(F2847*F2818,0)</f>
        <v>6259</v>
      </c>
    </row>
    <row r="2849" ht="13.5" customHeight="1">
      <c r="D2849" s="7"/>
      <c r="E2849" s="14" t="s">
        <v>8</v>
      </c>
      <c r="F2849" s="46">
        <f>ROUND(F2847*F2819,0)</f>
        <v>8345</v>
      </c>
    </row>
    <row r="2850" ht="13.5" customHeight="1">
      <c r="D2850" s="7"/>
      <c r="E2850" s="14" t="s">
        <v>81</v>
      </c>
      <c r="F2850" s="46">
        <f>F2847+F2848+F2849</f>
        <v>56329</v>
      </c>
    </row>
    <row r="2851" ht="13.5" customHeight="1">
      <c r="D2851" s="7"/>
      <c r="E2851" s="14" t="s">
        <v>82</v>
      </c>
      <c r="F2851" s="46">
        <f>ROUND(F2850*F2820,0)</f>
        <v>10703</v>
      </c>
    </row>
    <row r="2852" ht="13.5" customHeight="1">
      <c r="D2852" s="14" t="s">
        <v>425</v>
      </c>
      <c r="E2852" s="18" t="s">
        <v>84</v>
      </c>
      <c r="F2852" s="53">
        <f>F2850+F2851</f>
        <v>67032</v>
      </c>
    </row>
    <row r="2853" ht="13.5" customHeight="1"/>
    <row r="2854" ht="13.5" customHeight="1"/>
    <row r="2855" ht="13.5" customHeight="1"/>
    <row r="2856" ht="13.5" customHeight="1"/>
    <row r="2857" ht="13.5" customHeight="1"/>
    <row r="2858" ht="13.5" customHeight="1"/>
    <row r="2859" ht="13.5" customHeight="1"/>
    <row r="2860" ht="13.5" customHeight="1"/>
    <row r="2861" ht="13.5" customHeight="1">
      <c r="A2861" s="3" t="s">
        <v>1</v>
      </c>
      <c r="B2861" s="5">
        <v>19.0</v>
      </c>
      <c r="C2861" s="3" t="s">
        <v>2</v>
      </c>
      <c r="D2861" s="7"/>
      <c r="E2861" s="3" t="s">
        <v>3</v>
      </c>
      <c r="F2861" s="9"/>
    </row>
    <row r="2862" ht="13.5" customHeight="1">
      <c r="A2862" s="3" t="s">
        <v>4</v>
      </c>
      <c r="B2862" s="5" t="s">
        <v>30</v>
      </c>
      <c r="D2862" s="7"/>
      <c r="E2862" s="3" t="s">
        <v>6</v>
      </c>
      <c r="F2862" s="10">
        <v>0.15</v>
      </c>
    </row>
    <row r="2863" ht="13.5" customHeight="1">
      <c r="D2863" s="7"/>
      <c r="E2863" s="3" t="s">
        <v>8</v>
      </c>
      <c r="F2863" s="10">
        <v>0.2</v>
      </c>
    </row>
    <row r="2864" ht="13.5" customHeight="1">
      <c r="B2864" s="5" t="s">
        <v>564</v>
      </c>
      <c r="D2864" s="7"/>
      <c r="E2864" s="3" t="s">
        <v>10</v>
      </c>
      <c r="F2864" s="10">
        <v>0.19</v>
      </c>
    </row>
    <row r="2865" ht="13.5" customHeight="1">
      <c r="A2865" s="14" t="s">
        <v>11</v>
      </c>
      <c r="D2865" s="7"/>
      <c r="E2865" s="9"/>
      <c r="F2865" s="9"/>
    </row>
    <row r="2866" ht="13.5" customHeight="1">
      <c r="A2866" s="18" t="s">
        <v>15</v>
      </c>
      <c r="B2866" s="18" t="s">
        <v>17</v>
      </c>
      <c r="C2866" s="18" t="s">
        <v>18</v>
      </c>
      <c r="D2866" s="18" t="s">
        <v>19</v>
      </c>
      <c r="E2866" s="18" t="s">
        <v>20</v>
      </c>
      <c r="F2866" s="18" t="s">
        <v>21</v>
      </c>
    </row>
    <row r="2867" ht="13.5" customHeight="1">
      <c r="A2867" s="21" t="s">
        <v>22</v>
      </c>
      <c r="B2867" s="21" t="s">
        <v>565</v>
      </c>
      <c r="C2867" s="21" t="s">
        <v>30</v>
      </c>
      <c r="D2867" s="21">
        <v>1.0</v>
      </c>
      <c r="E2867" s="279">
        <v>13000.0</v>
      </c>
      <c r="F2867" s="33">
        <f t="shared" ref="F2867:F2868" si="140">ROUND(IFERROR(D2867*E2867,0),0)</f>
        <v>13000</v>
      </c>
    </row>
    <row r="2868" ht="13.5" customHeight="1">
      <c r="A2868" s="21" t="s">
        <v>27</v>
      </c>
      <c r="B2868" s="21" t="s">
        <v>561</v>
      </c>
      <c r="C2868" s="21" t="s">
        <v>34</v>
      </c>
      <c r="D2868" s="21">
        <v>1.0</v>
      </c>
      <c r="E2868" s="279">
        <v>1500.0</v>
      </c>
      <c r="F2868" s="33">
        <f t="shared" si="140"/>
        <v>1500</v>
      </c>
    </row>
    <row r="2869" ht="13.5" customHeight="1">
      <c r="A2869" s="21"/>
      <c r="B2869" s="21"/>
      <c r="C2869" s="21"/>
      <c r="D2869" s="21"/>
      <c r="E2869" s="279"/>
      <c r="F2869" s="33"/>
    </row>
    <row r="2870" ht="13.5" customHeight="1">
      <c r="A2870" s="21"/>
      <c r="B2870" s="21"/>
      <c r="C2870" s="21"/>
      <c r="D2870" s="21"/>
      <c r="E2870" s="279"/>
      <c r="F2870" s="33"/>
    </row>
    <row r="2871" ht="13.5" customHeight="1">
      <c r="A2871" s="21"/>
      <c r="B2871" s="21"/>
      <c r="C2871" s="21"/>
      <c r="D2871" s="21"/>
      <c r="E2871" s="279"/>
      <c r="F2871" s="33"/>
    </row>
    <row r="2872" ht="13.5" customHeight="1">
      <c r="A2872" s="21"/>
      <c r="B2872" s="21"/>
      <c r="C2872" s="21"/>
      <c r="D2872" s="21"/>
      <c r="E2872" s="279"/>
      <c r="F2872" s="33"/>
    </row>
    <row r="2873" ht="13.5" customHeight="1">
      <c r="D2873" s="7"/>
      <c r="E2873" s="14" t="s">
        <v>37</v>
      </c>
      <c r="F2873" s="46">
        <f>SUM(F2867:F2872)</f>
        <v>14500</v>
      </c>
    </row>
    <row r="2874" ht="13.5" customHeight="1">
      <c r="D2874" s="7"/>
      <c r="E2874" s="9"/>
      <c r="F2874" s="48"/>
    </row>
    <row r="2875" ht="13.5" customHeight="1">
      <c r="A2875" s="14" t="s">
        <v>44</v>
      </c>
      <c r="D2875" s="7"/>
      <c r="E2875" s="9"/>
      <c r="F2875" s="9"/>
    </row>
    <row r="2876" ht="13.5" customHeight="1">
      <c r="A2876" s="18" t="s">
        <v>15</v>
      </c>
      <c r="B2876" s="18" t="s">
        <v>17</v>
      </c>
      <c r="C2876" s="18" t="s">
        <v>18</v>
      </c>
      <c r="D2876" s="18" t="s">
        <v>19</v>
      </c>
      <c r="E2876" s="18" t="s">
        <v>20</v>
      </c>
      <c r="F2876" s="18" t="s">
        <v>21</v>
      </c>
    </row>
    <row r="2877" ht="13.5" customHeight="1">
      <c r="A2877" s="21" t="s">
        <v>22</v>
      </c>
      <c r="B2877" s="21" t="s">
        <v>345</v>
      </c>
      <c r="C2877" s="21" t="s">
        <v>51</v>
      </c>
      <c r="D2877" s="187">
        <f>ROUND(1/B2861,2)</f>
        <v>0.05</v>
      </c>
      <c r="E2877" s="21">
        <v>65000.0</v>
      </c>
      <c r="F2877" s="33">
        <f t="shared" ref="F2877:F2878" si="141">ROUND(IFERROR(D2877*E2877,0),0)</f>
        <v>3250</v>
      </c>
    </row>
    <row r="2878" ht="13.5" customHeight="1">
      <c r="A2878" s="21" t="s">
        <v>27</v>
      </c>
      <c r="B2878" s="21" t="s">
        <v>54</v>
      </c>
      <c r="C2878" s="21" t="s">
        <v>51</v>
      </c>
      <c r="D2878" s="187">
        <f>ROUND(1/B2861,2)</f>
        <v>0.05</v>
      </c>
      <c r="E2878" s="21">
        <v>50000.0</v>
      </c>
      <c r="F2878" s="33">
        <f t="shared" si="141"/>
        <v>2500</v>
      </c>
    </row>
    <row r="2879" ht="13.5" customHeight="1">
      <c r="D2879" s="7"/>
      <c r="E2879" s="14" t="s">
        <v>37</v>
      </c>
      <c r="F2879" s="46">
        <f>SUM(F2877:F2878)</f>
        <v>5750</v>
      </c>
    </row>
    <row r="2880" ht="13.5" customHeight="1">
      <c r="D2880" s="7"/>
      <c r="E2880" s="14" t="s">
        <v>59</v>
      </c>
      <c r="F2880" s="46">
        <f>ROUND(F2879*0.5,0)</f>
        <v>2875</v>
      </c>
    </row>
    <row r="2881" ht="13.5" customHeight="1">
      <c r="D2881" s="7"/>
      <c r="E2881" s="14" t="s">
        <v>60</v>
      </c>
      <c r="F2881" s="46">
        <f>F2879+F2880</f>
        <v>8625</v>
      </c>
    </row>
    <row r="2882" ht="13.5" customHeight="1">
      <c r="D2882" s="7"/>
      <c r="E2882" s="9"/>
      <c r="F2882" s="9"/>
    </row>
    <row r="2883" ht="13.5" customHeight="1">
      <c r="A2883" s="14" t="s">
        <v>62</v>
      </c>
      <c r="D2883" s="7"/>
      <c r="E2883" s="9"/>
      <c r="F2883" s="9"/>
    </row>
    <row r="2884" ht="13.5" customHeight="1">
      <c r="A2884" s="18" t="s">
        <v>15</v>
      </c>
      <c r="B2884" s="18" t="s">
        <v>17</v>
      </c>
      <c r="C2884" s="18" t="s">
        <v>18</v>
      </c>
      <c r="D2884" s="18" t="s">
        <v>19</v>
      </c>
      <c r="E2884" s="18" t="s">
        <v>20</v>
      </c>
      <c r="F2884" s="18" t="s">
        <v>21</v>
      </c>
    </row>
    <row r="2885" ht="13.5" customHeight="1">
      <c r="A2885" s="21" t="s">
        <v>22</v>
      </c>
      <c r="B2885" s="21" t="s">
        <v>394</v>
      </c>
      <c r="C2885" s="21" t="s">
        <v>51</v>
      </c>
      <c r="D2885" s="144">
        <f>ROUND(1/B2861,2)</f>
        <v>0.05</v>
      </c>
      <c r="E2885" s="21">
        <v>45000.0</v>
      </c>
      <c r="F2885" s="33">
        <f>ROUND(IFERROR(D2885*E2885,0),0)</f>
        <v>2250</v>
      </c>
    </row>
    <row r="2886" ht="13.5" customHeight="1">
      <c r="A2886" s="21"/>
      <c r="B2886" s="21"/>
      <c r="C2886" s="21"/>
      <c r="D2886" s="144"/>
      <c r="E2886" s="21"/>
      <c r="F2886" s="33"/>
    </row>
    <row r="2887" ht="13.5" customHeight="1">
      <c r="D2887" s="7"/>
      <c r="E2887" s="14" t="s">
        <v>37</v>
      </c>
      <c r="F2887" s="46">
        <f>SUM(F2885:F2886)</f>
        <v>2250</v>
      </c>
    </row>
    <row r="2888" ht="13.5" customHeight="1">
      <c r="D2888" s="7"/>
      <c r="E2888" s="9"/>
      <c r="F2888" s="9"/>
    </row>
    <row r="2889" ht="13.5" customHeight="1">
      <c r="A2889" s="14" t="s">
        <v>74</v>
      </c>
      <c r="D2889" s="7"/>
      <c r="E2889" s="9"/>
      <c r="F2889" s="9"/>
    </row>
    <row r="2890" ht="13.5" customHeight="1">
      <c r="A2890" s="18"/>
      <c r="B2890" s="18" t="s">
        <v>17</v>
      </c>
      <c r="C2890" s="18" t="s">
        <v>18</v>
      </c>
      <c r="D2890" s="18" t="s">
        <v>19</v>
      </c>
      <c r="E2890" s="18" t="s">
        <v>20</v>
      </c>
      <c r="F2890" s="18" t="s">
        <v>21</v>
      </c>
    </row>
    <row r="2891" ht="13.5" customHeight="1">
      <c r="D2891" s="7"/>
      <c r="E2891" s="14" t="s">
        <v>77</v>
      </c>
      <c r="F2891" s="46">
        <f>F2873+F2881+F2887</f>
        <v>25375</v>
      </c>
    </row>
    <row r="2892" ht="13.5" customHeight="1">
      <c r="D2892" s="7"/>
      <c r="E2892" s="14" t="s">
        <v>6</v>
      </c>
      <c r="F2892" s="46">
        <f>ROUND(F2891*F2862,0)</f>
        <v>3806</v>
      </c>
    </row>
    <row r="2893" ht="13.5" customHeight="1">
      <c r="D2893" s="7"/>
      <c r="E2893" s="14" t="s">
        <v>8</v>
      </c>
      <c r="F2893" s="46">
        <f>ROUND(F2891*F2863,0)</f>
        <v>5075</v>
      </c>
    </row>
    <row r="2894" ht="13.5" customHeight="1">
      <c r="D2894" s="7"/>
      <c r="E2894" s="14" t="s">
        <v>81</v>
      </c>
      <c r="F2894" s="46">
        <f>F2891+F2892+F2893</f>
        <v>34256</v>
      </c>
    </row>
    <row r="2895" ht="13.5" customHeight="1">
      <c r="D2895" s="7"/>
      <c r="E2895" s="14" t="s">
        <v>82</v>
      </c>
      <c r="F2895" s="46">
        <f>ROUND(F2894*F2864,0)</f>
        <v>6509</v>
      </c>
    </row>
    <row r="2896" ht="13.5" customHeight="1">
      <c r="D2896" s="14" t="s">
        <v>425</v>
      </c>
      <c r="E2896" s="18" t="s">
        <v>84</v>
      </c>
      <c r="F2896" s="53">
        <f>F2894+F2895</f>
        <v>40765</v>
      </c>
    </row>
    <row r="2897" ht="13.5" customHeight="1"/>
    <row r="2898" ht="13.5" customHeight="1"/>
    <row r="2899" ht="13.5" customHeight="1"/>
    <row r="2900" ht="13.5" customHeight="1"/>
    <row r="2901" ht="13.5" customHeight="1"/>
    <row r="2902" ht="13.5" customHeight="1"/>
    <row r="2903" ht="13.5" customHeight="1"/>
    <row r="2904" ht="13.5" customHeight="1"/>
    <row r="2905" ht="13.5" customHeight="1">
      <c r="A2905" s="3" t="s">
        <v>1</v>
      </c>
      <c r="B2905" s="5">
        <v>19.0</v>
      </c>
      <c r="C2905" s="3" t="s">
        <v>2</v>
      </c>
      <c r="D2905" s="7"/>
      <c r="E2905" s="3" t="s">
        <v>3</v>
      </c>
      <c r="F2905" s="9"/>
    </row>
    <row r="2906" ht="13.5" customHeight="1">
      <c r="A2906" s="3" t="s">
        <v>4</v>
      </c>
      <c r="B2906" s="5" t="s">
        <v>30</v>
      </c>
      <c r="D2906" s="7"/>
      <c r="E2906" s="3" t="s">
        <v>6</v>
      </c>
      <c r="F2906" s="10">
        <v>0.15</v>
      </c>
    </row>
    <row r="2907" ht="13.5" customHeight="1">
      <c r="D2907" s="7"/>
      <c r="E2907" s="3" t="s">
        <v>8</v>
      </c>
      <c r="F2907" s="10">
        <v>0.2</v>
      </c>
    </row>
    <row r="2908" ht="13.5" customHeight="1">
      <c r="B2908" s="5" t="s">
        <v>566</v>
      </c>
      <c r="D2908" s="7"/>
      <c r="E2908" s="3" t="s">
        <v>10</v>
      </c>
      <c r="F2908" s="10">
        <v>0.19</v>
      </c>
    </row>
    <row r="2909" ht="13.5" customHeight="1">
      <c r="A2909" s="14" t="s">
        <v>11</v>
      </c>
      <c r="D2909" s="7"/>
      <c r="E2909" s="9"/>
      <c r="F2909" s="9"/>
    </row>
    <row r="2910" ht="13.5" customHeight="1">
      <c r="A2910" s="18" t="s">
        <v>15</v>
      </c>
      <c r="B2910" s="18" t="s">
        <v>17</v>
      </c>
      <c r="C2910" s="18" t="s">
        <v>18</v>
      </c>
      <c r="D2910" s="18" t="s">
        <v>19</v>
      </c>
      <c r="E2910" s="18" t="s">
        <v>20</v>
      </c>
      <c r="F2910" s="18" t="s">
        <v>21</v>
      </c>
    </row>
    <row r="2911" ht="13.5" customHeight="1">
      <c r="A2911" s="21" t="s">
        <v>22</v>
      </c>
      <c r="B2911" s="21" t="s">
        <v>567</v>
      </c>
      <c r="C2911" s="21" t="s">
        <v>30</v>
      </c>
      <c r="D2911" s="21">
        <v>1.0</v>
      </c>
      <c r="E2911" s="279">
        <v>22000.0</v>
      </c>
      <c r="F2911" s="33">
        <f t="shared" ref="F2911:F2912" si="142">ROUND(IFERROR(D2911*E2911,0),0)</f>
        <v>22000</v>
      </c>
    </row>
    <row r="2912" ht="13.5" customHeight="1">
      <c r="A2912" s="21" t="s">
        <v>27</v>
      </c>
      <c r="B2912" s="21" t="s">
        <v>561</v>
      </c>
      <c r="C2912" s="21" t="s">
        <v>34</v>
      </c>
      <c r="D2912" s="21">
        <v>1.0</v>
      </c>
      <c r="E2912" s="279">
        <v>1500.0</v>
      </c>
      <c r="F2912" s="33">
        <f t="shared" si="142"/>
        <v>1500</v>
      </c>
    </row>
    <row r="2913" ht="13.5" customHeight="1">
      <c r="A2913" s="21"/>
      <c r="B2913" s="21"/>
      <c r="C2913" s="21"/>
      <c r="D2913" s="21"/>
      <c r="E2913" s="279"/>
      <c r="F2913" s="33"/>
    </row>
    <row r="2914" ht="13.5" customHeight="1">
      <c r="A2914" s="21"/>
      <c r="B2914" s="21"/>
      <c r="C2914" s="21"/>
      <c r="D2914" s="21"/>
      <c r="E2914" s="279"/>
      <c r="F2914" s="33"/>
    </row>
    <row r="2915" ht="13.5" customHeight="1">
      <c r="A2915" s="21"/>
      <c r="B2915" s="21"/>
      <c r="C2915" s="21"/>
      <c r="D2915" s="21"/>
      <c r="E2915" s="279"/>
      <c r="F2915" s="33"/>
    </row>
    <row r="2916" ht="13.5" customHeight="1">
      <c r="A2916" s="21"/>
      <c r="B2916" s="21"/>
      <c r="C2916" s="21"/>
      <c r="D2916" s="21"/>
      <c r="E2916" s="279"/>
      <c r="F2916" s="33"/>
    </row>
    <row r="2917" ht="13.5" customHeight="1">
      <c r="D2917" s="7"/>
      <c r="E2917" s="14" t="s">
        <v>37</v>
      </c>
      <c r="F2917" s="46">
        <f>SUM(F2911:F2916)</f>
        <v>23500</v>
      </c>
    </row>
    <row r="2918" ht="13.5" customHeight="1">
      <c r="D2918" s="7"/>
      <c r="E2918" s="9"/>
      <c r="F2918" s="9"/>
    </row>
    <row r="2919" ht="13.5" customHeight="1">
      <c r="A2919" s="14" t="s">
        <v>44</v>
      </c>
      <c r="D2919" s="7"/>
      <c r="E2919" s="9"/>
      <c r="F2919" s="9"/>
    </row>
    <row r="2920" ht="13.5" customHeight="1">
      <c r="A2920" s="18" t="s">
        <v>15</v>
      </c>
      <c r="B2920" s="18" t="s">
        <v>17</v>
      </c>
      <c r="C2920" s="18" t="s">
        <v>18</v>
      </c>
      <c r="D2920" s="18" t="s">
        <v>19</v>
      </c>
      <c r="E2920" s="18" t="s">
        <v>20</v>
      </c>
      <c r="F2920" s="18" t="s">
        <v>21</v>
      </c>
    </row>
    <row r="2921" ht="13.5" customHeight="1">
      <c r="A2921" s="21" t="s">
        <v>22</v>
      </c>
      <c r="B2921" s="21" t="s">
        <v>345</v>
      </c>
      <c r="C2921" s="21" t="s">
        <v>51</v>
      </c>
      <c r="D2921" s="187">
        <f>ROUND(1/B2905,2)</f>
        <v>0.05</v>
      </c>
      <c r="E2921" s="21">
        <v>65000.0</v>
      </c>
      <c r="F2921" s="33">
        <f t="shared" ref="F2921:F2922" si="143">ROUND(IFERROR(D2921*E2921,0),0)</f>
        <v>3250</v>
      </c>
    </row>
    <row r="2922" ht="13.5" customHeight="1">
      <c r="A2922" s="21" t="s">
        <v>27</v>
      </c>
      <c r="B2922" s="21" t="s">
        <v>54</v>
      </c>
      <c r="C2922" s="21" t="s">
        <v>51</v>
      </c>
      <c r="D2922" s="187">
        <f>ROUND(1/B2905,2)</f>
        <v>0.05</v>
      </c>
      <c r="E2922" s="21">
        <v>50000.0</v>
      </c>
      <c r="F2922" s="33">
        <f t="shared" si="143"/>
        <v>2500</v>
      </c>
    </row>
    <row r="2923" ht="13.5" customHeight="1">
      <c r="D2923" s="7"/>
      <c r="E2923" s="14" t="s">
        <v>37</v>
      </c>
      <c r="F2923" s="46">
        <f>SUM(F2921:F2922)</f>
        <v>5750</v>
      </c>
    </row>
    <row r="2924" ht="13.5" customHeight="1">
      <c r="D2924" s="7"/>
      <c r="E2924" s="14" t="s">
        <v>59</v>
      </c>
      <c r="F2924" s="46">
        <f>ROUND(F2923*0.5,0)</f>
        <v>2875</v>
      </c>
    </row>
    <row r="2925" ht="13.5" customHeight="1">
      <c r="D2925" s="7"/>
      <c r="E2925" s="14" t="s">
        <v>60</v>
      </c>
      <c r="F2925" s="46">
        <f>F2923+F2924</f>
        <v>8625</v>
      </c>
    </row>
    <row r="2926" ht="13.5" customHeight="1">
      <c r="D2926" s="7"/>
      <c r="E2926" s="9"/>
      <c r="F2926" s="9"/>
    </row>
    <row r="2927" ht="13.5" customHeight="1">
      <c r="A2927" s="14" t="s">
        <v>62</v>
      </c>
      <c r="D2927" s="7"/>
      <c r="E2927" s="9"/>
      <c r="F2927" s="9"/>
    </row>
    <row r="2928" ht="13.5" customHeight="1">
      <c r="A2928" s="18" t="s">
        <v>15</v>
      </c>
      <c r="B2928" s="18" t="s">
        <v>17</v>
      </c>
      <c r="C2928" s="18" t="s">
        <v>18</v>
      </c>
      <c r="D2928" s="18" t="s">
        <v>19</v>
      </c>
      <c r="E2928" s="18" t="s">
        <v>20</v>
      </c>
      <c r="F2928" s="18" t="s">
        <v>21</v>
      </c>
    </row>
    <row r="2929" ht="13.5" customHeight="1">
      <c r="A2929" s="21" t="s">
        <v>22</v>
      </c>
      <c r="B2929" s="21" t="s">
        <v>394</v>
      </c>
      <c r="C2929" s="21" t="s">
        <v>51</v>
      </c>
      <c r="D2929" s="144">
        <f>ROUND(1/B2905,2)</f>
        <v>0.05</v>
      </c>
      <c r="E2929" s="21">
        <v>45000.0</v>
      </c>
      <c r="F2929" s="33">
        <f>ROUND(IFERROR(D2929*E2929,0),0)</f>
        <v>2250</v>
      </c>
    </row>
    <row r="2930" ht="13.5" customHeight="1">
      <c r="A2930" s="21"/>
      <c r="B2930" s="21"/>
      <c r="C2930" s="21"/>
      <c r="D2930" s="144"/>
      <c r="E2930" s="21"/>
      <c r="F2930" s="33"/>
    </row>
    <row r="2931" ht="13.5" customHeight="1">
      <c r="D2931" s="7"/>
      <c r="E2931" s="14" t="s">
        <v>37</v>
      </c>
      <c r="F2931" s="46">
        <f>SUM(F2929:F2930)</f>
        <v>2250</v>
      </c>
    </row>
    <row r="2932" ht="13.5" customHeight="1">
      <c r="D2932" s="7"/>
      <c r="E2932" s="9"/>
      <c r="F2932" s="9"/>
    </row>
    <row r="2933" ht="13.5" customHeight="1">
      <c r="A2933" s="14" t="s">
        <v>74</v>
      </c>
      <c r="D2933" s="7"/>
      <c r="E2933" s="9"/>
      <c r="F2933" s="9"/>
    </row>
    <row r="2934" ht="13.5" customHeight="1">
      <c r="A2934" s="18"/>
      <c r="B2934" s="18" t="s">
        <v>17</v>
      </c>
      <c r="C2934" s="18" t="s">
        <v>18</v>
      </c>
      <c r="D2934" s="18" t="s">
        <v>19</v>
      </c>
      <c r="E2934" s="18" t="s">
        <v>20</v>
      </c>
      <c r="F2934" s="18" t="s">
        <v>21</v>
      </c>
    </row>
    <row r="2935" ht="13.5" customHeight="1">
      <c r="D2935" s="7"/>
      <c r="E2935" s="14" t="s">
        <v>77</v>
      </c>
      <c r="F2935" s="46">
        <f>F2917+F2925+F2931</f>
        <v>34375</v>
      </c>
    </row>
    <row r="2936" ht="13.5" customHeight="1">
      <c r="D2936" s="7"/>
      <c r="E2936" s="14" t="s">
        <v>6</v>
      </c>
      <c r="F2936" s="46">
        <f>ROUND(F2935*F2906,0)</f>
        <v>5156</v>
      </c>
    </row>
    <row r="2937" ht="13.5" customHeight="1">
      <c r="D2937" s="7"/>
      <c r="E2937" s="14" t="s">
        <v>8</v>
      </c>
      <c r="F2937" s="46">
        <f>ROUND(F2935*F2907,0)</f>
        <v>6875</v>
      </c>
    </row>
    <row r="2938" ht="13.5" customHeight="1">
      <c r="D2938" s="7"/>
      <c r="E2938" s="14" t="s">
        <v>81</v>
      </c>
      <c r="F2938" s="46">
        <f>F2935+F2936+F2937</f>
        <v>46406</v>
      </c>
    </row>
    <row r="2939" ht="13.5" customHeight="1">
      <c r="D2939" s="7"/>
      <c r="E2939" s="14" t="s">
        <v>82</v>
      </c>
      <c r="F2939" s="46">
        <f>ROUND(F2938*F2908,0)</f>
        <v>8817</v>
      </c>
    </row>
    <row r="2940" ht="13.5" customHeight="1">
      <c r="D2940" s="14" t="s">
        <v>425</v>
      </c>
      <c r="E2940" s="18" t="s">
        <v>84</v>
      </c>
      <c r="F2940" s="53">
        <f>F2938+F2939</f>
        <v>55223</v>
      </c>
    </row>
    <row r="2941" ht="13.5" customHeight="1"/>
    <row r="2942" ht="13.5" customHeight="1"/>
    <row r="2943" ht="13.5" customHeight="1"/>
    <row r="2944" ht="13.5" customHeight="1"/>
    <row r="2945" ht="13.5" customHeight="1"/>
    <row r="2946" ht="13.5" customHeight="1"/>
    <row r="2947" ht="13.5" customHeight="1"/>
    <row r="2948" ht="13.5" customHeight="1"/>
    <row r="2949" ht="13.5" customHeight="1">
      <c r="A2949" s="3" t="s">
        <v>1</v>
      </c>
      <c r="B2949" s="5">
        <v>4.0</v>
      </c>
      <c r="C2949" s="3" t="s">
        <v>2</v>
      </c>
      <c r="D2949" s="7"/>
      <c r="E2949" s="3" t="s">
        <v>3</v>
      </c>
      <c r="F2949" s="9"/>
    </row>
    <row r="2950" ht="13.5" customHeight="1">
      <c r="A2950" s="3" t="s">
        <v>4</v>
      </c>
      <c r="B2950" s="5" t="s">
        <v>30</v>
      </c>
      <c r="D2950" s="7"/>
      <c r="E2950" s="3" t="s">
        <v>6</v>
      </c>
      <c r="F2950" s="10">
        <v>0.15</v>
      </c>
    </row>
    <row r="2951" ht="13.5" customHeight="1">
      <c r="D2951" s="7"/>
      <c r="E2951" s="3" t="s">
        <v>8</v>
      </c>
      <c r="F2951" s="10">
        <v>0.2</v>
      </c>
    </row>
    <row r="2952" ht="13.5" customHeight="1">
      <c r="B2952" s="5" t="s">
        <v>568</v>
      </c>
      <c r="D2952" s="7"/>
      <c r="E2952" s="3" t="s">
        <v>10</v>
      </c>
      <c r="F2952" s="10">
        <v>0.19</v>
      </c>
    </row>
    <row r="2953" ht="13.5" customHeight="1">
      <c r="A2953" s="14" t="s">
        <v>11</v>
      </c>
      <c r="D2953" s="7"/>
      <c r="E2953" s="9"/>
      <c r="F2953" s="9"/>
    </row>
    <row r="2954" ht="13.5" customHeight="1">
      <c r="A2954" s="18" t="s">
        <v>15</v>
      </c>
      <c r="B2954" s="18" t="s">
        <v>17</v>
      </c>
      <c r="C2954" s="18" t="s">
        <v>18</v>
      </c>
      <c r="D2954" s="18" t="s">
        <v>19</v>
      </c>
      <c r="E2954" s="18" t="s">
        <v>20</v>
      </c>
      <c r="F2954" s="18" t="s">
        <v>21</v>
      </c>
    </row>
    <row r="2955" ht="13.5" customHeight="1">
      <c r="A2955" s="21" t="s">
        <v>22</v>
      </c>
      <c r="B2955" s="21" t="s">
        <v>569</v>
      </c>
      <c r="C2955" s="21" t="s">
        <v>30</v>
      </c>
      <c r="D2955" s="21">
        <v>1.0</v>
      </c>
      <c r="E2955" s="279">
        <v>180000.0</v>
      </c>
      <c r="F2955" s="33">
        <f t="shared" ref="F2955:F2956" si="144">ROUND(IFERROR(D2955*E2955,0),0)</f>
        <v>180000</v>
      </c>
    </row>
    <row r="2956" ht="13.5" customHeight="1">
      <c r="A2956" s="21" t="s">
        <v>27</v>
      </c>
      <c r="B2956" s="21" t="s">
        <v>561</v>
      </c>
      <c r="C2956" s="21" t="s">
        <v>34</v>
      </c>
      <c r="D2956" s="21">
        <v>1.0</v>
      </c>
      <c r="E2956" s="279">
        <v>25000.0</v>
      </c>
      <c r="F2956" s="33">
        <f t="shared" si="144"/>
        <v>25000</v>
      </c>
    </row>
    <row r="2957" ht="13.5" customHeight="1">
      <c r="A2957" s="21"/>
      <c r="B2957" s="21"/>
      <c r="C2957" s="21"/>
      <c r="D2957" s="21"/>
      <c r="E2957" s="279"/>
      <c r="F2957" s="33"/>
    </row>
    <row r="2958" ht="13.5" customHeight="1">
      <c r="A2958" s="21"/>
      <c r="B2958" s="21"/>
      <c r="C2958" s="21"/>
      <c r="D2958" s="21"/>
      <c r="E2958" s="279"/>
      <c r="F2958" s="33"/>
    </row>
    <row r="2959" ht="13.5" customHeight="1">
      <c r="A2959" s="21"/>
      <c r="B2959" s="21"/>
      <c r="C2959" s="21"/>
      <c r="D2959" s="21"/>
      <c r="E2959" s="279"/>
      <c r="F2959" s="33"/>
    </row>
    <row r="2960" ht="13.5" customHeight="1">
      <c r="A2960" s="21"/>
      <c r="B2960" s="21"/>
      <c r="C2960" s="21"/>
      <c r="D2960" s="21"/>
      <c r="E2960" s="279"/>
      <c r="F2960" s="33"/>
    </row>
    <row r="2961" ht="13.5" customHeight="1">
      <c r="D2961" s="7"/>
      <c r="E2961" s="14" t="s">
        <v>37</v>
      </c>
      <c r="F2961" s="46">
        <f>SUM(F2955:F2960)</f>
        <v>205000</v>
      </c>
    </row>
    <row r="2962" ht="13.5" customHeight="1">
      <c r="D2962" s="7"/>
      <c r="E2962" s="9"/>
      <c r="F2962" s="9"/>
    </row>
    <row r="2963" ht="13.5" customHeight="1">
      <c r="A2963" s="14" t="s">
        <v>44</v>
      </c>
      <c r="D2963" s="7"/>
      <c r="E2963" s="9"/>
      <c r="F2963" s="9"/>
    </row>
    <row r="2964" ht="13.5" customHeight="1">
      <c r="A2964" s="18" t="s">
        <v>15</v>
      </c>
      <c r="B2964" s="18" t="s">
        <v>17</v>
      </c>
      <c r="C2964" s="18" t="s">
        <v>18</v>
      </c>
      <c r="D2964" s="18" t="s">
        <v>19</v>
      </c>
      <c r="E2964" s="18" t="s">
        <v>20</v>
      </c>
      <c r="F2964" s="18" t="s">
        <v>21</v>
      </c>
    </row>
    <row r="2965" ht="13.5" customHeight="1">
      <c r="A2965" s="21" t="s">
        <v>22</v>
      </c>
      <c r="B2965" s="21" t="s">
        <v>345</v>
      </c>
      <c r="C2965" s="21" t="s">
        <v>51</v>
      </c>
      <c r="D2965" s="187">
        <v>0.3</v>
      </c>
      <c r="E2965" s="21">
        <v>65000.0</v>
      </c>
      <c r="F2965" s="33">
        <f t="shared" ref="F2965:F2966" si="145">ROUND(IFERROR(D2965*E2965,0),0)</f>
        <v>19500</v>
      </c>
    </row>
    <row r="2966" ht="13.5" customHeight="1">
      <c r="A2966" s="21" t="s">
        <v>27</v>
      </c>
      <c r="B2966" s="21" t="s">
        <v>54</v>
      </c>
      <c r="C2966" s="21" t="s">
        <v>51</v>
      </c>
      <c r="D2966" s="187">
        <v>0.3</v>
      </c>
      <c r="E2966" s="21">
        <v>50000.0</v>
      </c>
      <c r="F2966" s="33">
        <f t="shared" si="145"/>
        <v>15000</v>
      </c>
    </row>
    <row r="2967" ht="13.5" customHeight="1">
      <c r="D2967" s="7"/>
      <c r="E2967" s="14" t="s">
        <v>37</v>
      </c>
      <c r="F2967" s="46">
        <f>SUM(F2965:F2966)</f>
        <v>34500</v>
      </c>
    </row>
    <row r="2968" ht="13.5" customHeight="1">
      <c r="D2968" s="7"/>
      <c r="E2968" s="14" t="s">
        <v>59</v>
      </c>
      <c r="F2968" s="46">
        <f>ROUND(F2967*0.5,0)</f>
        <v>17250</v>
      </c>
    </row>
    <row r="2969" ht="13.5" customHeight="1">
      <c r="D2969" s="7"/>
      <c r="E2969" s="14" t="s">
        <v>60</v>
      </c>
      <c r="F2969" s="46">
        <f>F2967+F2968</f>
        <v>51750</v>
      </c>
    </row>
    <row r="2970" ht="13.5" customHeight="1">
      <c r="D2970" s="7"/>
      <c r="E2970" s="9"/>
      <c r="F2970" s="48"/>
    </row>
    <row r="2971" ht="13.5" customHeight="1">
      <c r="A2971" s="14" t="s">
        <v>62</v>
      </c>
      <c r="D2971" s="7"/>
      <c r="E2971" s="9"/>
      <c r="F2971" s="9"/>
    </row>
    <row r="2972" ht="13.5" customHeight="1">
      <c r="A2972" s="18" t="s">
        <v>15</v>
      </c>
      <c r="B2972" s="18" t="s">
        <v>17</v>
      </c>
      <c r="C2972" s="18" t="s">
        <v>18</v>
      </c>
      <c r="D2972" s="18" t="s">
        <v>19</v>
      </c>
      <c r="E2972" s="18" t="s">
        <v>20</v>
      </c>
      <c r="F2972" s="18" t="s">
        <v>21</v>
      </c>
    </row>
    <row r="2973" ht="13.5" customHeight="1">
      <c r="A2973" s="21" t="s">
        <v>22</v>
      </c>
      <c r="B2973" s="21" t="s">
        <v>394</v>
      </c>
      <c r="C2973" s="21" t="s">
        <v>51</v>
      </c>
      <c r="D2973" s="144">
        <f>ROUND(1/B2949,2)</f>
        <v>0.25</v>
      </c>
      <c r="E2973" s="21">
        <v>45000.0</v>
      </c>
      <c r="F2973" s="33">
        <f>ROUND(IFERROR(D2973*E2973,0),0)</f>
        <v>11250</v>
      </c>
    </row>
    <row r="2974" ht="13.5" customHeight="1">
      <c r="A2974" s="21"/>
      <c r="B2974" s="21"/>
      <c r="C2974" s="21"/>
      <c r="D2974" s="144"/>
      <c r="E2974" s="21"/>
      <c r="F2974" s="33"/>
    </row>
    <row r="2975" ht="13.5" customHeight="1">
      <c r="D2975" s="7"/>
      <c r="E2975" s="14" t="s">
        <v>37</v>
      </c>
      <c r="F2975" s="46">
        <f>SUM(F2973:F2974)</f>
        <v>11250</v>
      </c>
    </row>
    <row r="2976" ht="13.5" customHeight="1">
      <c r="D2976" s="7"/>
      <c r="E2976" s="9"/>
      <c r="F2976" s="9"/>
    </row>
    <row r="2977" ht="13.5" customHeight="1">
      <c r="A2977" s="14" t="s">
        <v>74</v>
      </c>
      <c r="D2977" s="7"/>
      <c r="E2977" s="9"/>
      <c r="F2977" s="9"/>
    </row>
    <row r="2978" ht="13.5" customHeight="1">
      <c r="A2978" s="18"/>
      <c r="B2978" s="18" t="s">
        <v>17</v>
      </c>
      <c r="C2978" s="18" t="s">
        <v>18</v>
      </c>
      <c r="D2978" s="18" t="s">
        <v>19</v>
      </c>
      <c r="E2978" s="18" t="s">
        <v>20</v>
      </c>
      <c r="F2978" s="18" t="s">
        <v>21</v>
      </c>
    </row>
    <row r="2979" ht="13.5" customHeight="1">
      <c r="D2979" s="7"/>
      <c r="E2979" s="14" t="s">
        <v>77</v>
      </c>
      <c r="F2979" s="46">
        <f>F2961+F2969+F2975</f>
        <v>268000</v>
      </c>
    </row>
    <row r="2980" ht="13.5" customHeight="1">
      <c r="D2980" s="7"/>
      <c r="E2980" s="14" t="s">
        <v>6</v>
      </c>
      <c r="F2980" s="46">
        <f>ROUND(F2979*F2950,0)</f>
        <v>40200</v>
      </c>
    </row>
    <row r="2981" ht="13.5" customHeight="1">
      <c r="D2981" s="7"/>
      <c r="E2981" s="14" t="s">
        <v>8</v>
      </c>
      <c r="F2981" s="46">
        <f>ROUND(F2979*F2951,0)</f>
        <v>53600</v>
      </c>
    </row>
    <row r="2982" ht="13.5" customHeight="1">
      <c r="D2982" s="7"/>
      <c r="E2982" s="14" t="s">
        <v>81</v>
      </c>
      <c r="F2982" s="46">
        <f>F2979+F2980+F2981</f>
        <v>361800</v>
      </c>
    </row>
    <row r="2983" ht="13.5" customHeight="1">
      <c r="D2983" s="7"/>
      <c r="E2983" s="14" t="s">
        <v>82</v>
      </c>
      <c r="F2983" s="46">
        <f>ROUND(F2982*F2952,0)</f>
        <v>68742</v>
      </c>
    </row>
    <row r="2984" ht="13.5" customHeight="1">
      <c r="D2984" s="14" t="s">
        <v>425</v>
      </c>
      <c r="E2984" s="18" t="s">
        <v>84</v>
      </c>
      <c r="F2984" s="53">
        <f>F2982+F2983</f>
        <v>430542</v>
      </c>
    </row>
    <row r="2985" ht="13.5" customHeight="1"/>
    <row r="2986" ht="13.5" customHeight="1"/>
    <row r="2987" ht="13.5" customHeight="1"/>
    <row r="2988" ht="13.5" customHeight="1"/>
    <row r="2989" ht="13.5" customHeight="1"/>
    <row r="2990" ht="13.5" customHeight="1"/>
    <row r="2991" ht="13.5" customHeight="1"/>
    <row r="2992" ht="13.5" customHeight="1"/>
    <row r="2993" ht="13.5" customHeight="1">
      <c r="A2993" s="3" t="s">
        <v>1</v>
      </c>
      <c r="B2993" s="5">
        <v>25.0</v>
      </c>
      <c r="C2993" s="3" t="s">
        <v>2</v>
      </c>
      <c r="D2993" s="7"/>
      <c r="E2993" s="3" t="s">
        <v>3</v>
      </c>
      <c r="F2993" s="9"/>
    </row>
    <row r="2994" ht="13.5" customHeight="1">
      <c r="A2994" s="3" t="s">
        <v>4</v>
      </c>
      <c r="B2994" s="5" t="s">
        <v>30</v>
      </c>
      <c r="D2994" s="7"/>
      <c r="E2994" s="3" t="s">
        <v>6</v>
      </c>
      <c r="F2994" s="10">
        <v>0.15</v>
      </c>
    </row>
    <row r="2995" ht="13.5" customHeight="1">
      <c r="D2995" s="7"/>
      <c r="E2995" s="3" t="s">
        <v>8</v>
      </c>
      <c r="F2995" s="10">
        <v>0.2</v>
      </c>
    </row>
    <row r="2996" ht="13.5" customHeight="1">
      <c r="B2996" s="5" t="s">
        <v>570</v>
      </c>
      <c r="D2996" s="7"/>
      <c r="E2996" s="3" t="s">
        <v>10</v>
      </c>
      <c r="F2996" s="10">
        <v>0.19</v>
      </c>
    </row>
    <row r="2997" ht="13.5" customHeight="1">
      <c r="A2997" s="14" t="s">
        <v>11</v>
      </c>
      <c r="D2997" s="7"/>
      <c r="E2997" s="9"/>
      <c r="F2997" s="9"/>
    </row>
    <row r="2998" ht="13.5" customHeight="1">
      <c r="A2998" s="18" t="s">
        <v>15</v>
      </c>
      <c r="B2998" s="18" t="s">
        <v>17</v>
      </c>
      <c r="C2998" s="18" t="s">
        <v>18</v>
      </c>
      <c r="D2998" s="18" t="s">
        <v>19</v>
      </c>
      <c r="E2998" s="18" t="s">
        <v>20</v>
      </c>
      <c r="F2998" s="18" t="s">
        <v>21</v>
      </c>
    </row>
    <row r="2999" ht="13.5" customHeight="1">
      <c r="A2999" s="21" t="s">
        <v>22</v>
      </c>
      <c r="B2999" s="21" t="s">
        <v>571</v>
      </c>
      <c r="C2999" s="21" t="s">
        <v>30</v>
      </c>
      <c r="D2999" s="21">
        <v>1.0</v>
      </c>
      <c r="E2999" s="279">
        <v>25000.0</v>
      </c>
      <c r="F2999" s="33">
        <f t="shared" ref="F2999:F3000" si="146">ROUND(IFERROR(D2999*E2999,0),0)</f>
        <v>25000</v>
      </c>
    </row>
    <row r="3000" ht="13.5" customHeight="1">
      <c r="A3000" s="21" t="s">
        <v>27</v>
      </c>
      <c r="B3000" s="21" t="s">
        <v>561</v>
      </c>
      <c r="C3000" s="21" t="s">
        <v>34</v>
      </c>
      <c r="D3000" s="21">
        <v>1.0</v>
      </c>
      <c r="E3000" s="279">
        <v>1500.0</v>
      </c>
      <c r="F3000" s="33">
        <f t="shared" si="146"/>
        <v>1500</v>
      </c>
    </row>
    <row r="3001" ht="13.5" customHeight="1">
      <c r="A3001" s="21"/>
      <c r="B3001" s="21"/>
      <c r="C3001" s="21"/>
      <c r="D3001" s="21"/>
      <c r="E3001" s="279"/>
      <c r="F3001" s="33"/>
    </row>
    <row r="3002" ht="13.5" customHeight="1">
      <c r="A3002" s="21"/>
      <c r="B3002" s="21"/>
      <c r="C3002" s="21"/>
      <c r="D3002" s="21"/>
      <c r="E3002" s="279"/>
      <c r="F3002" s="33"/>
    </row>
    <row r="3003" ht="13.5" customHeight="1">
      <c r="A3003" s="21"/>
      <c r="B3003" s="21"/>
      <c r="C3003" s="21"/>
      <c r="D3003" s="21"/>
      <c r="E3003" s="279"/>
      <c r="F3003" s="33"/>
    </row>
    <row r="3004" ht="13.5" customHeight="1">
      <c r="A3004" s="21"/>
      <c r="B3004" s="21"/>
      <c r="C3004" s="21"/>
      <c r="D3004" s="21"/>
      <c r="E3004" s="279"/>
      <c r="F3004" s="33"/>
    </row>
    <row r="3005" ht="13.5" customHeight="1">
      <c r="D3005" s="7"/>
      <c r="E3005" s="14" t="s">
        <v>37</v>
      </c>
      <c r="F3005" s="46">
        <f>SUM(F2999:F3004)</f>
        <v>26500</v>
      </c>
    </row>
    <row r="3006" ht="13.5" customHeight="1">
      <c r="D3006" s="7"/>
      <c r="E3006" s="9"/>
      <c r="F3006" s="9"/>
    </row>
    <row r="3007" ht="13.5" customHeight="1">
      <c r="A3007" s="14" t="s">
        <v>44</v>
      </c>
      <c r="D3007" s="7"/>
      <c r="E3007" s="9"/>
      <c r="F3007" s="9"/>
    </row>
    <row r="3008" ht="13.5" customHeight="1">
      <c r="A3008" s="18" t="s">
        <v>15</v>
      </c>
      <c r="B3008" s="18" t="s">
        <v>17</v>
      </c>
      <c r="C3008" s="18" t="s">
        <v>18</v>
      </c>
      <c r="D3008" s="18" t="s">
        <v>19</v>
      </c>
      <c r="E3008" s="18" t="s">
        <v>20</v>
      </c>
      <c r="F3008" s="18" t="s">
        <v>21</v>
      </c>
    </row>
    <row r="3009" ht="13.5" customHeight="1">
      <c r="A3009" s="21" t="s">
        <v>22</v>
      </c>
      <c r="B3009" s="21" t="s">
        <v>345</v>
      </c>
      <c r="C3009" s="21" t="s">
        <v>51</v>
      </c>
      <c r="D3009" s="187">
        <f>ROUND(1/B2993,2)</f>
        <v>0.04</v>
      </c>
      <c r="E3009" s="21">
        <v>65000.0</v>
      </c>
      <c r="F3009" s="33">
        <f t="shared" ref="F3009:F3010" si="147">ROUND(IFERROR(D3009*E3009,0),0)</f>
        <v>2600</v>
      </c>
    </row>
    <row r="3010" ht="13.5" customHeight="1">
      <c r="A3010" s="21" t="s">
        <v>27</v>
      </c>
      <c r="B3010" s="21" t="s">
        <v>54</v>
      </c>
      <c r="C3010" s="21" t="s">
        <v>51</v>
      </c>
      <c r="D3010" s="187">
        <f>ROUND(1/B2993,2)</f>
        <v>0.04</v>
      </c>
      <c r="E3010" s="21">
        <v>50000.0</v>
      </c>
      <c r="F3010" s="33">
        <f t="shared" si="147"/>
        <v>2000</v>
      </c>
    </row>
    <row r="3011" ht="13.5" customHeight="1">
      <c r="D3011" s="7"/>
      <c r="E3011" s="14" t="s">
        <v>37</v>
      </c>
      <c r="F3011" s="46">
        <f>SUM(F3009:F3010)</f>
        <v>4600</v>
      </c>
    </row>
    <row r="3012" ht="13.5" customHeight="1">
      <c r="D3012" s="7"/>
      <c r="E3012" s="14" t="s">
        <v>59</v>
      </c>
      <c r="F3012" s="46">
        <f>ROUND(F3011*0.5,0)</f>
        <v>2300</v>
      </c>
    </row>
    <row r="3013" ht="13.5" customHeight="1">
      <c r="D3013" s="7"/>
      <c r="E3013" s="14" t="s">
        <v>60</v>
      </c>
      <c r="F3013" s="46">
        <f>F3011+F3012</f>
        <v>6900</v>
      </c>
    </row>
    <row r="3014" ht="13.5" customHeight="1">
      <c r="D3014" s="7"/>
      <c r="E3014" s="9"/>
      <c r="F3014" s="9"/>
    </row>
    <row r="3015" ht="13.5" customHeight="1">
      <c r="A3015" s="14" t="s">
        <v>62</v>
      </c>
      <c r="D3015" s="7"/>
      <c r="E3015" s="9"/>
      <c r="F3015" s="9"/>
    </row>
    <row r="3016" ht="13.5" customHeight="1">
      <c r="A3016" s="18" t="s">
        <v>15</v>
      </c>
      <c r="B3016" s="18" t="s">
        <v>17</v>
      </c>
      <c r="C3016" s="18" t="s">
        <v>18</v>
      </c>
      <c r="D3016" s="18" t="s">
        <v>19</v>
      </c>
      <c r="E3016" s="18" t="s">
        <v>20</v>
      </c>
      <c r="F3016" s="18" t="s">
        <v>21</v>
      </c>
    </row>
    <row r="3017" ht="13.5" customHeight="1">
      <c r="A3017" s="21" t="s">
        <v>22</v>
      </c>
      <c r="B3017" s="21" t="s">
        <v>394</v>
      </c>
      <c r="C3017" s="21" t="s">
        <v>51</v>
      </c>
      <c r="D3017" s="144">
        <f>ROUND(1/B2993,2)</f>
        <v>0.04</v>
      </c>
      <c r="E3017" s="21">
        <v>45000.0</v>
      </c>
      <c r="F3017" s="33">
        <f>ROUND(IFERROR(D3017*E3017,0),0)</f>
        <v>1800</v>
      </c>
    </row>
    <row r="3018" ht="13.5" customHeight="1">
      <c r="A3018" s="21"/>
      <c r="B3018" s="21"/>
      <c r="C3018" s="21"/>
      <c r="D3018" s="144"/>
      <c r="E3018" s="21"/>
      <c r="F3018" s="33"/>
    </row>
    <row r="3019" ht="13.5" customHeight="1">
      <c r="D3019" s="7"/>
      <c r="E3019" s="14" t="s">
        <v>37</v>
      </c>
      <c r="F3019" s="46">
        <f>SUM(F3017:F3018)</f>
        <v>1800</v>
      </c>
    </row>
    <row r="3020" ht="13.5" customHeight="1">
      <c r="D3020" s="7"/>
      <c r="E3020" s="9"/>
      <c r="F3020" s="9"/>
    </row>
    <row r="3021" ht="13.5" customHeight="1">
      <c r="A3021" s="14" t="s">
        <v>74</v>
      </c>
      <c r="D3021" s="7"/>
      <c r="E3021" s="9"/>
      <c r="F3021" s="9"/>
    </row>
    <row r="3022" ht="13.5" customHeight="1">
      <c r="A3022" s="18"/>
      <c r="B3022" s="18" t="s">
        <v>17</v>
      </c>
      <c r="C3022" s="18" t="s">
        <v>18</v>
      </c>
      <c r="D3022" s="18" t="s">
        <v>19</v>
      </c>
      <c r="E3022" s="18" t="s">
        <v>20</v>
      </c>
      <c r="F3022" s="18" t="s">
        <v>21</v>
      </c>
    </row>
    <row r="3023" ht="13.5" customHeight="1">
      <c r="D3023" s="7"/>
      <c r="E3023" s="14" t="s">
        <v>77</v>
      </c>
      <c r="F3023" s="46">
        <f>F3005+F3013+F3019</f>
        <v>35200</v>
      </c>
    </row>
    <row r="3024" ht="13.5" customHeight="1">
      <c r="D3024" s="7"/>
      <c r="E3024" s="14" t="s">
        <v>6</v>
      </c>
      <c r="F3024" s="46">
        <f>ROUND(F3023*F2994,0)</f>
        <v>5280</v>
      </c>
    </row>
    <row r="3025" ht="13.5" customHeight="1">
      <c r="D3025" s="7"/>
      <c r="E3025" s="14" t="s">
        <v>8</v>
      </c>
      <c r="F3025" s="46">
        <f>ROUND(F3023*F2995,0)</f>
        <v>7040</v>
      </c>
    </row>
    <row r="3026" ht="13.5" customHeight="1">
      <c r="D3026" s="7"/>
      <c r="E3026" s="14" t="s">
        <v>81</v>
      </c>
      <c r="F3026" s="46">
        <f>F3023+F3024+F3025</f>
        <v>47520</v>
      </c>
    </row>
    <row r="3027" ht="13.5" customHeight="1">
      <c r="D3027" s="7"/>
      <c r="E3027" s="14" t="s">
        <v>82</v>
      </c>
      <c r="F3027" s="46">
        <f>ROUND(F3026*F2996,0)</f>
        <v>9029</v>
      </c>
    </row>
    <row r="3028" ht="13.5" customHeight="1">
      <c r="D3028" s="14" t="s">
        <v>425</v>
      </c>
      <c r="E3028" s="18" t="s">
        <v>84</v>
      </c>
      <c r="F3028" s="53">
        <f>F3026+F3027</f>
        <v>56549</v>
      </c>
    </row>
    <row r="3029" ht="13.5" customHeight="1"/>
    <row r="3030" ht="13.5" customHeight="1"/>
    <row r="3031" ht="13.5" customHeight="1"/>
    <row r="3032" ht="13.5" customHeight="1"/>
    <row r="3033" ht="13.5" customHeight="1"/>
    <row r="3034" ht="13.5" customHeight="1"/>
    <row r="3035" ht="13.5" customHeight="1"/>
    <row r="3036" ht="13.5" customHeight="1"/>
    <row r="3037" ht="13.5" customHeight="1">
      <c r="A3037" s="3" t="s">
        <v>1</v>
      </c>
      <c r="B3037" s="5">
        <v>25.0</v>
      </c>
      <c r="C3037" s="3" t="s">
        <v>2</v>
      </c>
      <c r="D3037" s="7"/>
      <c r="E3037" s="3" t="s">
        <v>3</v>
      </c>
      <c r="F3037" s="9"/>
    </row>
    <row r="3038" ht="13.5" customHeight="1">
      <c r="A3038" s="3" t="s">
        <v>4</v>
      </c>
      <c r="B3038" s="5" t="s">
        <v>30</v>
      </c>
      <c r="D3038" s="7"/>
      <c r="E3038" s="3" t="s">
        <v>6</v>
      </c>
      <c r="F3038" s="10">
        <v>0.15</v>
      </c>
    </row>
    <row r="3039" ht="13.5" customHeight="1">
      <c r="D3039" s="7"/>
      <c r="E3039" s="3" t="s">
        <v>8</v>
      </c>
      <c r="F3039" s="10">
        <v>0.2</v>
      </c>
    </row>
    <row r="3040" ht="13.5" customHeight="1">
      <c r="B3040" s="5" t="s">
        <v>572</v>
      </c>
      <c r="D3040" s="7"/>
      <c r="E3040" s="3" t="s">
        <v>10</v>
      </c>
      <c r="F3040" s="10">
        <v>0.19</v>
      </c>
    </row>
    <row r="3041" ht="13.5" customHeight="1">
      <c r="A3041" s="14" t="s">
        <v>11</v>
      </c>
      <c r="D3041" s="7"/>
      <c r="E3041" s="9"/>
      <c r="F3041" s="9"/>
    </row>
    <row r="3042" ht="13.5" customHeight="1">
      <c r="A3042" s="18" t="s">
        <v>15</v>
      </c>
      <c r="B3042" s="18" t="s">
        <v>17</v>
      </c>
      <c r="C3042" s="18" t="s">
        <v>18</v>
      </c>
      <c r="D3042" s="18" t="s">
        <v>19</v>
      </c>
      <c r="E3042" s="18" t="s">
        <v>20</v>
      </c>
      <c r="F3042" s="18" t="s">
        <v>21</v>
      </c>
    </row>
    <row r="3043" ht="13.5" customHeight="1">
      <c r="A3043" s="21" t="s">
        <v>22</v>
      </c>
      <c r="B3043" s="21" t="s">
        <v>573</v>
      </c>
      <c r="C3043" s="21" t="s">
        <v>30</v>
      </c>
      <c r="D3043" s="21">
        <v>1.0</v>
      </c>
      <c r="E3043" s="279">
        <v>35000.0</v>
      </c>
      <c r="F3043" s="33">
        <f t="shared" ref="F3043:F3044" si="148">ROUND(IFERROR(D3043*E3043,0),0)</f>
        <v>35000</v>
      </c>
    </row>
    <row r="3044" ht="13.5" customHeight="1">
      <c r="A3044" s="21" t="s">
        <v>27</v>
      </c>
      <c r="B3044" s="21" t="s">
        <v>561</v>
      </c>
      <c r="C3044" s="21" t="s">
        <v>34</v>
      </c>
      <c r="D3044" s="21">
        <v>1.0</v>
      </c>
      <c r="E3044" s="279">
        <v>1500.0</v>
      </c>
      <c r="F3044" s="33">
        <f t="shared" si="148"/>
        <v>1500</v>
      </c>
    </row>
    <row r="3045" ht="13.5" customHeight="1">
      <c r="A3045" s="21"/>
      <c r="B3045" s="21"/>
      <c r="C3045" s="21"/>
      <c r="D3045" s="21"/>
      <c r="E3045" s="279"/>
      <c r="F3045" s="33"/>
    </row>
    <row r="3046" ht="13.5" customHeight="1">
      <c r="A3046" s="21"/>
      <c r="B3046" s="21"/>
      <c r="C3046" s="21"/>
      <c r="D3046" s="21"/>
      <c r="E3046" s="279"/>
      <c r="F3046" s="33"/>
    </row>
    <row r="3047" ht="13.5" customHeight="1">
      <c r="A3047" s="21"/>
      <c r="B3047" s="21"/>
      <c r="C3047" s="21"/>
      <c r="D3047" s="21"/>
      <c r="E3047" s="279"/>
      <c r="F3047" s="33"/>
    </row>
    <row r="3048" ht="13.5" customHeight="1">
      <c r="A3048" s="21"/>
      <c r="B3048" s="21"/>
      <c r="C3048" s="21"/>
      <c r="D3048" s="21"/>
      <c r="E3048" s="279"/>
      <c r="F3048" s="33"/>
    </row>
    <row r="3049" ht="13.5" customHeight="1">
      <c r="D3049" s="7"/>
      <c r="E3049" s="14" t="s">
        <v>37</v>
      </c>
      <c r="F3049" s="46">
        <f>SUM(F3043:F3048)</f>
        <v>36500</v>
      </c>
    </row>
    <row r="3050" ht="13.5" customHeight="1">
      <c r="D3050" s="7"/>
      <c r="E3050" s="9"/>
      <c r="F3050" s="9"/>
    </row>
    <row r="3051" ht="13.5" customHeight="1">
      <c r="A3051" s="14" t="s">
        <v>44</v>
      </c>
      <c r="D3051" s="7"/>
      <c r="E3051" s="9"/>
      <c r="F3051" s="9"/>
    </row>
    <row r="3052" ht="13.5" customHeight="1">
      <c r="A3052" s="18" t="s">
        <v>15</v>
      </c>
      <c r="B3052" s="18" t="s">
        <v>17</v>
      </c>
      <c r="C3052" s="18" t="s">
        <v>18</v>
      </c>
      <c r="D3052" s="18" t="s">
        <v>19</v>
      </c>
      <c r="E3052" s="18" t="s">
        <v>20</v>
      </c>
      <c r="F3052" s="18" t="s">
        <v>21</v>
      </c>
    </row>
    <row r="3053" ht="13.5" customHeight="1">
      <c r="A3053" s="21" t="s">
        <v>22</v>
      </c>
      <c r="B3053" s="21" t="s">
        <v>345</v>
      </c>
      <c r="C3053" s="21" t="s">
        <v>51</v>
      </c>
      <c r="D3053" s="187">
        <f>ROUND(1/B3037,2)</f>
        <v>0.04</v>
      </c>
      <c r="E3053" s="21">
        <v>65000.0</v>
      </c>
      <c r="F3053" s="33">
        <f t="shared" ref="F3053:F3054" si="149">ROUND(IFERROR(D3053*E3053,0),0)</f>
        <v>2600</v>
      </c>
    </row>
    <row r="3054" ht="13.5" customHeight="1">
      <c r="A3054" s="21" t="s">
        <v>27</v>
      </c>
      <c r="B3054" s="21" t="s">
        <v>54</v>
      </c>
      <c r="C3054" s="21" t="s">
        <v>51</v>
      </c>
      <c r="D3054" s="187">
        <f>ROUND(1/B3037,2)</f>
        <v>0.04</v>
      </c>
      <c r="E3054" s="21">
        <v>50000.0</v>
      </c>
      <c r="F3054" s="33">
        <f t="shared" si="149"/>
        <v>2000</v>
      </c>
    </row>
    <row r="3055" ht="13.5" customHeight="1">
      <c r="D3055" s="7"/>
      <c r="E3055" s="14" t="s">
        <v>37</v>
      </c>
      <c r="F3055" s="46">
        <f>SUM(F3053:F3054)</f>
        <v>4600</v>
      </c>
    </row>
    <row r="3056" ht="13.5" customHeight="1">
      <c r="D3056" s="7"/>
      <c r="E3056" s="14" t="s">
        <v>59</v>
      </c>
      <c r="F3056" s="46">
        <f>ROUND(F3055*0.5,0)</f>
        <v>2300</v>
      </c>
    </row>
    <row r="3057" ht="13.5" customHeight="1">
      <c r="D3057" s="7"/>
      <c r="E3057" s="14" t="s">
        <v>60</v>
      </c>
      <c r="F3057" s="46">
        <f>F3055+F3056</f>
        <v>6900</v>
      </c>
    </row>
    <row r="3058" ht="13.5" customHeight="1">
      <c r="D3058" s="7"/>
      <c r="E3058" s="9"/>
      <c r="F3058" s="9"/>
    </row>
    <row r="3059" ht="13.5" customHeight="1">
      <c r="A3059" s="14" t="s">
        <v>62</v>
      </c>
      <c r="D3059" s="7"/>
      <c r="E3059" s="9"/>
      <c r="F3059" s="9"/>
    </row>
    <row r="3060" ht="13.5" customHeight="1">
      <c r="A3060" s="18" t="s">
        <v>15</v>
      </c>
      <c r="B3060" s="18" t="s">
        <v>17</v>
      </c>
      <c r="C3060" s="18" t="s">
        <v>18</v>
      </c>
      <c r="D3060" s="18" t="s">
        <v>19</v>
      </c>
      <c r="E3060" s="18" t="s">
        <v>20</v>
      </c>
      <c r="F3060" s="18" t="s">
        <v>21</v>
      </c>
    </row>
    <row r="3061" ht="13.5" customHeight="1">
      <c r="A3061" s="21" t="s">
        <v>22</v>
      </c>
      <c r="B3061" s="21" t="s">
        <v>394</v>
      </c>
      <c r="C3061" s="21" t="s">
        <v>51</v>
      </c>
      <c r="D3061" s="144">
        <f>ROUND(1/B3037,2)</f>
        <v>0.04</v>
      </c>
      <c r="E3061" s="21">
        <v>45000.0</v>
      </c>
      <c r="F3061" s="33">
        <f>ROUND(IFERROR(D3061*E3061,0),0)</f>
        <v>1800</v>
      </c>
    </row>
    <row r="3062" ht="13.5" customHeight="1">
      <c r="A3062" s="21"/>
      <c r="B3062" s="21"/>
      <c r="C3062" s="21"/>
      <c r="D3062" s="144"/>
      <c r="E3062" s="21"/>
      <c r="F3062" s="33"/>
    </row>
    <row r="3063" ht="13.5" customHeight="1">
      <c r="D3063" s="7"/>
      <c r="E3063" s="14" t="s">
        <v>37</v>
      </c>
      <c r="F3063" s="46">
        <f>SUM(F3061:F3062)</f>
        <v>1800</v>
      </c>
    </row>
    <row r="3064" ht="13.5" customHeight="1">
      <c r="D3064" s="7"/>
      <c r="E3064" s="9"/>
      <c r="F3064" s="9"/>
    </row>
    <row r="3065" ht="13.5" customHeight="1">
      <c r="A3065" s="14" t="s">
        <v>74</v>
      </c>
      <c r="D3065" s="7"/>
      <c r="E3065" s="9"/>
      <c r="F3065" s="9"/>
    </row>
    <row r="3066" ht="13.5" customHeight="1">
      <c r="A3066" s="18"/>
      <c r="B3066" s="18" t="s">
        <v>17</v>
      </c>
      <c r="C3066" s="18" t="s">
        <v>18</v>
      </c>
      <c r="D3066" s="18" t="s">
        <v>19</v>
      </c>
      <c r="E3066" s="18" t="s">
        <v>20</v>
      </c>
      <c r="F3066" s="18" t="s">
        <v>21</v>
      </c>
    </row>
    <row r="3067" ht="13.5" customHeight="1">
      <c r="D3067" s="7"/>
      <c r="E3067" s="14" t="s">
        <v>77</v>
      </c>
      <c r="F3067" s="46">
        <f>F3049+F3057+F3063</f>
        <v>45200</v>
      </c>
    </row>
    <row r="3068" ht="13.5" customHeight="1">
      <c r="D3068" s="7"/>
      <c r="E3068" s="14" t="s">
        <v>6</v>
      </c>
      <c r="F3068" s="46">
        <f>ROUND(F3067*F3038,0)</f>
        <v>6780</v>
      </c>
    </row>
    <row r="3069" ht="13.5" customHeight="1">
      <c r="D3069" s="7"/>
      <c r="E3069" s="14" t="s">
        <v>8</v>
      </c>
      <c r="F3069" s="46">
        <f>ROUND(F3067*F3039,0)</f>
        <v>9040</v>
      </c>
    </row>
    <row r="3070" ht="13.5" customHeight="1">
      <c r="D3070" s="7"/>
      <c r="E3070" s="14" t="s">
        <v>81</v>
      </c>
      <c r="F3070" s="46">
        <f>F3067+F3068+F3069</f>
        <v>61020</v>
      </c>
    </row>
    <row r="3071" ht="13.5" customHeight="1">
      <c r="D3071" s="7"/>
      <c r="E3071" s="14" t="s">
        <v>82</v>
      </c>
      <c r="F3071" s="46">
        <f>ROUND(F3070*F3040,0)</f>
        <v>11594</v>
      </c>
    </row>
    <row r="3072" ht="13.5" customHeight="1">
      <c r="D3072" s="14" t="s">
        <v>425</v>
      </c>
      <c r="E3072" s="18" t="s">
        <v>84</v>
      </c>
      <c r="F3072" s="53">
        <f>F3070+F3071</f>
        <v>72614</v>
      </c>
    </row>
    <row r="3073" ht="13.5" customHeight="1"/>
    <row r="3074" ht="13.5" customHeight="1"/>
    <row r="3075" ht="13.5" customHeight="1"/>
    <row r="3076" ht="13.5" customHeight="1"/>
    <row r="3077" ht="13.5" customHeight="1"/>
    <row r="3078" ht="13.5" customHeight="1"/>
    <row r="3079" ht="13.5" customHeight="1"/>
    <row r="3080" ht="13.5" customHeight="1"/>
    <row r="3081" ht="13.5" customHeight="1">
      <c r="A3081" s="3" t="s">
        <v>1</v>
      </c>
      <c r="B3081" s="5">
        <v>10.0</v>
      </c>
      <c r="C3081" s="3" t="s">
        <v>2</v>
      </c>
      <c r="D3081" s="7"/>
      <c r="E3081" s="3" t="s">
        <v>3</v>
      </c>
      <c r="F3081" s="9"/>
    </row>
    <row r="3082" ht="13.5" customHeight="1">
      <c r="A3082" s="3" t="s">
        <v>4</v>
      </c>
      <c r="B3082" s="5" t="s">
        <v>30</v>
      </c>
      <c r="D3082" s="7"/>
      <c r="E3082" s="3" t="s">
        <v>6</v>
      </c>
      <c r="F3082" s="10">
        <v>0.15</v>
      </c>
    </row>
    <row r="3083" ht="13.5" customHeight="1">
      <c r="D3083" s="7"/>
      <c r="E3083" s="3" t="s">
        <v>8</v>
      </c>
      <c r="F3083" s="10">
        <v>0.2</v>
      </c>
    </row>
    <row r="3084" ht="13.5" customHeight="1">
      <c r="B3084" s="5" t="s">
        <v>574</v>
      </c>
      <c r="D3084" s="7"/>
      <c r="E3084" s="3" t="s">
        <v>10</v>
      </c>
      <c r="F3084" s="10">
        <v>0.19</v>
      </c>
    </row>
    <row r="3085" ht="13.5" customHeight="1">
      <c r="A3085" s="14" t="s">
        <v>11</v>
      </c>
      <c r="D3085" s="7"/>
      <c r="E3085" s="9"/>
      <c r="F3085" s="9"/>
    </row>
    <row r="3086" ht="13.5" customHeight="1">
      <c r="A3086" s="18" t="s">
        <v>15</v>
      </c>
      <c r="B3086" s="18" t="s">
        <v>17</v>
      </c>
      <c r="C3086" s="18" t="s">
        <v>18</v>
      </c>
      <c r="D3086" s="18" t="s">
        <v>19</v>
      </c>
      <c r="E3086" s="18" t="s">
        <v>20</v>
      </c>
      <c r="F3086" s="18" t="s">
        <v>21</v>
      </c>
    </row>
    <row r="3087" ht="13.5" customHeight="1">
      <c r="A3087" s="21" t="s">
        <v>22</v>
      </c>
      <c r="B3087" s="21" t="s">
        <v>575</v>
      </c>
      <c r="C3087" s="21" t="s">
        <v>30</v>
      </c>
      <c r="D3087" s="21">
        <v>1.0</v>
      </c>
      <c r="E3087" s="279">
        <v>69000.0</v>
      </c>
      <c r="F3087" s="33">
        <f t="shared" ref="F3087:F3088" si="150">ROUND(IFERROR(D3087*E3087,0),0)</f>
        <v>69000</v>
      </c>
    </row>
    <row r="3088" ht="13.5" customHeight="1">
      <c r="A3088" s="21" t="s">
        <v>27</v>
      </c>
      <c r="B3088" s="21" t="s">
        <v>561</v>
      </c>
      <c r="C3088" s="21" t="s">
        <v>34</v>
      </c>
      <c r="D3088" s="21">
        <v>1.0</v>
      </c>
      <c r="E3088" s="279">
        <v>1500.0</v>
      </c>
      <c r="F3088" s="33">
        <f t="shared" si="150"/>
        <v>1500</v>
      </c>
    </row>
    <row r="3089" ht="13.5" customHeight="1">
      <c r="A3089" s="21"/>
      <c r="B3089" s="21"/>
      <c r="C3089" s="21"/>
      <c r="D3089" s="21"/>
      <c r="E3089" s="279"/>
      <c r="F3089" s="33"/>
    </row>
    <row r="3090" ht="13.5" customHeight="1">
      <c r="A3090" s="21"/>
      <c r="B3090" s="21"/>
      <c r="C3090" s="21"/>
      <c r="D3090" s="21"/>
      <c r="E3090" s="279"/>
      <c r="F3090" s="33"/>
    </row>
    <row r="3091" ht="13.5" customHeight="1">
      <c r="A3091" s="21"/>
      <c r="B3091" s="21"/>
      <c r="C3091" s="21"/>
      <c r="D3091" s="21"/>
      <c r="E3091" s="279"/>
      <c r="F3091" s="33"/>
    </row>
    <row r="3092" ht="13.5" customHeight="1">
      <c r="A3092" s="21"/>
      <c r="B3092" s="21"/>
      <c r="C3092" s="21"/>
      <c r="D3092" s="21"/>
      <c r="E3092" s="279"/>
      <c r="F3092" s="33"/>
    </row>
    <row r="3093" ht="13.5" customHeight="1">
      <c r="D3093" s="7"/>
      <c r="E3093" s="14" t="s">
        <v>37</v>
      </c>
      <c r="F3093" s="46">
        <f>SUM(F3087:F3092)</f>
        <v>70500</v>
      </c>
    </row>
    <row r="3094" ht="13.5" customHeight="1">
      <c r="D3094" s="7"/>
      <c r="E3094" s="9"/>
      <c r="F3094" s="9"/>
    </row>
    <row r="3095" ht="13.5" customHeight="1">
      <c r="A3095" s="14" t="s">
        <v>44</v>
      </c>
      <c r="D3095" s="7"/>
      <c r="E3095" s="9"/>
      <c r="F3095" s="9"/>
    </row>
    <row r="3096" ht="13.5" customHeight="1">
      <c r="A3096" s="18" t="s">
        <v>15</v>
      </c>
      <c r="B3096" s="18" t="s">
        <v>17</v>
      </c>
      <c r="C3096" s="18" t="s">
        <v>18</v>
      </c>
      <c r="D3096" s="18" t="s">
        <v>19</v>
      </c>
      <c r="E3096" s="18" t="s">
        <v>20</v>
      </c>
      <c r="F3096" s="18" t="s">
        <v>21</v>
      </c>
    </row>
    <row r="3097" ht="13.5" customHeight="1">
      <c r="A3097" s="21" t="s">
        <v>22</v>
      </c>
      <c r="B3097" s="21" t="s">
        <v>345</v>
      </c>
      <c r="C3097" s="21" t="s">
        <v>51</v>
      </c>
      <c r="D3097" s="187">
        <f>1/B3081</f>
        <v>0.1</v>
      </c>
      <c r="E3097" s="21">
        <v>65000.0</v>
      </c>
      <c r="F3097" s="33">
        <f t="shared" ref="F3097:F3098" si="151">ROUND(IFERROR(D3097*E3097,0),0)</f>
        <v>6500</v>
      </c>
    </row>
    <row r="3098" ht="13.5" customHeight="1">
      <c r="A3098" s="21" t="s">
        <v>27</v>
      </c>
      <c r="B3098" s="21" t="s">
        <v>54</v>
      </c>
      <c r="C3098" s="21" t="s">
        <v>51</v>
      </c>
      <c r="D3098" s="187">
        <f>1/B3081</f>
        <v>0.1</v>
      </c>
      <c r="E3098" s="21">
        <v>50000.0</v>
      </c>
      <c r="F3098" s="33">
        <f t="shared" si="151"/>
        <v>5000</v>
      </c>
    </row>
    <row r="3099" ht="13.5" customHeight="1">
      <c r="D3099" s="7"/>
      <c r="E3099" s="14" t="s">
        <v>37</v>
      </c>
      <c r="F3099" s="46">
        <f>SUM(F3097:F3098)</f>
        <v>11500</v>
      </c>
    </row>
    <row r="3100" ht="13.5" customHeight="1">
      <c r="D3100" s="7"/>
      <c r="E3100" s="14" t="s">
        <v>59</v>
      </c>
      <c r="F3100" s="46">
        <f>ROUND(F3099*0.5,0)</f>
        <v>5750</v>
      </c>
    </row>
    <row r="3101" ht="13.5" customHeight="1">
      <c r="D3101" s="7"/>
      <c r="E3101" s="14" t="s">
        <v>60</v>
      </c>
      <c r="F3101" s="46">
        <f>F3099+F3100</f>
        <v>17250</v>
      </c>
    </row>
    <row r="3102" ht="13.5" customHeight="1">
      <c r="D3102" s="7"/>
      <c r="E3102" s="9"/>
      <c r="F3102" s="9"/>
    </row>
    <row r="3103" ht="13.5" customHeight="1">
      <c r="A3103" s="14" t="s">
        <v>62</v>
      </c>
      <c r="D3103" s="7"/>
      <c r="E3103" s="9"/>
      <c r="F3103" s="9"/>
    </row>
    <row r="3104" ht="13.5" customHeight="1">
      <c r="A3104" s="18" t="s">
        <v>15</v>
      </c>
      <c r="B3104" s="18" t="s">
        <v>17</v>
      </c>
      <c r="C3104" s="18" t="s">
        <v>18</v>
      </c>
      <c r="D3104" s="18" t="s">
        <v>19</v>
      </c>
      <c r="E3104" s="18" t="s">
        <v>20</v>
      </c>
      <c r="F3104" s="18" t="s">
        <v>21</v>
      </c>
    </row>
    <row r="3105" ht="13.5" customHeight="1">
      <c r="A3105" s="21" t="s">
        <v>22</v>
      </c>
      <c r="B3105" s="21" t="s">
        <v>394</v>
      </c>
      <c r="C3105" s="21" t="s">
        <v>51</v>
      </c>
      <c r="D3105" s="144">
        <f>1/B3081</f>
        <v>0.1</v>
      </c>
      <c r="E3105" s="21">
        <v>45000.0</v>
      </c>
      <c r="F3105" s="33">
        <f>ROUND(IFERROR(D3105*E3105,0),0)</f>
        <v>4500</v>
      </c>
    </row>
    <row r="3106" ht="13.5" customHeight="1">
      <c r="A3106" s="21"/>
      <c r="B3106" s="21"/>
      <c r="C3106" s="21"/>
      <c r="D3106" s="144"/>
      <c r="E3106" s="21"/>
      <c r="F3106" s="33"/>
    </row>
    <row r="3107" ht="13.5" customHeight="1">
      <c r="D3107" s="7"/>
      <c r="E3107" s="14" t="s">
        <v>37</v>
      </c>
      <c r="F3107" s="46">
        <f>SUM(F3105:F3106)</f>
        <v>4500</v>
      </c>
    </row>
    <row r="3108" ht="13.5" customHeight="1">
      <c r="D3108" s="7"/>
      <c r="E3108" s="9"/>
      <c r="F3108" s="9"/>
    </row>
    <row r="3109" ht="13.5" customHeight="1">
      <c r="A3109" s="14" t="s">
        <v>74</v>
      </c>
      <c r="D3109" s="7"/>
      <c r="E3109" s="9"/>
      <c r="F3109" s="9"/>
    </row>
    <row r="3110" ht="13.5" customHeight="1">
      <c r="A3110" s="18"/>
      <c r="B3110" s="18" t="s">
        <v>17</v>
      </c>
      <c r="C3110" s="18" t="s">
        <v>18</v>
      </c>
      <c r="D3110" s="18" t="s">
        <v>19</v>
      </c>
      <c r="E3110" s="18" t="s">
        <v>20</v>
      </c>
      <c r="F3110" s="18" t="s">
        <v>21</v>
      </c>
    </row>
    <row r="3111" ht="13.5" customHeight="1">
      <c r="D3111" s="7"/>
      <c r="E3111" s="14" t="s">
        <v>77</v>
      </c>
      <c r="F3111" s="46">
        <f>F3093+F3101+F3107</f>
        <v>92250</v>
      </c>
    </row>
    <row r="3112" ht="13.5" customHeight="1">
      <c r="D3112" s="7"/>
      <c r="E3112" s="14" t="s">
        <v>6</v>
      </c>
      <c r="F3112" s="46">
        <f>ROUND(F3111*F3082,0)</f>
        <v>13838</v>
      </c>
    </row>
    <row r="3113" ht="13.5" customHeight="1">
      <c r="D3113" s="7"/>
      <c r="E3113" s="14" t="s">
        <v>8</v>
      </c>
      <c r="F3113" s="46">
        <f>ROUND(F3111*F3083,0)</f>
        <v>18450</v>
      </c>
    </row>
    <row r="3114" ht="13.5" customHeight="1">
      <c r="D3114" s="7"/>
      <c r="E3114" s="14" t="s">
        <v>81</v>
      </c>
      <c r="F3114" s="46">
        <f>F3111+F3112+F3113</f>
        <v>124538</v>
      </c>
    </row>
    <row r="3115" ht="13.5" customHeight="1">
      <c r="D3115" s="7"/>
      <c r="E3115" s="14" t="s">
        <v>82</v>
      </c>
      <c r="F3115" s="46">
        <f>ROUND(F3114*F3084,0)</f>
        <v>23662</v>
      </c>
    </row>
    <row r="3116" ht="13.5" customHeight="1">
      <c r="D3116" s="14" t="s">
        <v>425</v>
      </c>
      <c r="E3116" s="18" t="s">
        <v>84</v>
      </c>
      <c r="F3116" s="53">
        <f>F3114+F3115</f>
        <v>148200</v>
      </c>
    </row>
    <row r="3117" ht="13.5" customHeight="1"/>
    <row r="3118" ht="13.5" customHeight="1"/>
    <row r="3119" ht="13.5" customHeight="1"/>
    <row r="3120" ht="13.5" customHeight="1"/>
    <row r="3121" ht="13.5" customHeight="1"/>
    <row r="3122" ht="13.5" customHeight="1"/>
    <row r="3123" ht="13.5" customHeight="1"/>
    <row r="3124" ht="13.5" customHeight="1"/>
    <row r="3125" ht="13.5" customHeight="1">
      <c r="A3125" s="3" t="s">
        <v>1</v>
      </c>
      <c r="B3125" s="5">
        <v>10.0</v>
      </c>
      <c r="C3125" s="3" t="s">
        <v>2</v>
      </c>
      <c r="D3125" s="7"/>
      <c r="E3125" s="3" t="s">
        <v>3</v>
      </c>
      <c r="F3125" s="9"/>
    </row>
    <row r="3126" ht="13.5" customHeight="1">
      <c r="A3126" s="3" t="s">
        <v>4</v>
      </c>
      <c r="B3126" s="5" t="s">
        <v>30</v>
      </c>
      <c r="D3126" s="7"/>
      <c r="E3126" s="3" t="s">
        <v>6</v>
      </c>
      <c r="F3126" s="10">
        <v>0.15</v>
      </c>
    </row>
    <row r="3127" ht="13.5" customHeight="1">
      <c r="D3127" s="7"/>
      <c r="E3127" s="3" t="s">
        <v>8</v>
      </c>
      <c r="F3127" s="10">
        <v>0.2</v>
      </c>
    </row>
    <row r="3128" ht="13.5" customHeight="1">
      <c r="B3128" s="5" t="s">
        <v>576</v>
      </c>
      <c r="D3128" s="7"/>
      <c r="E3128" s="3" t="s">
        <v>10</v>
      </c>
      <c r="F3128" s="10">
        <v>0.19</v>
      </c>
    </row>
    <row r="3129" ht="13.5" customHeight="1">
      <c r="A3129" s="14" t="s">
        <v>11</v>
      </c>
      <c r="D3129" s="7"/>
      <c r="E3129" s="9"/>
      <c r="F3129" s="9"/>
    </row>
    <row r="3130" ht="13.5" customHeight="1">
      <c r="A3130" s="18" t="s">
        <v>15</v>
      </c>
      <c r="B3130" s="18" t="s">
        <v>17</v>
      </c>
      <c r="C3130" s="18" t="s">
        <v>18</v>
      </c>
      <c r="D3130" s="18" t="s">
        <v>19</v>
      </c>
      <c r="E3130" s="18" t="s">
        <v>20</v>
      </c>
      <c r="F3130" s="18" t="s">
        <v>21</v>
      </c>
    </row>
    <row r="3131" ht="13.5" customHeight="1">
      <c r="A3131" s="21" t="s">
        <v>22</v>
      </c>
      <c r="B3131" s="21" t="s">
        <v>577</v>
      </c>
      <c r="C3131" s="21" t="s">
        <v>30</v>
      </c>
      <c r="D3131" s="21">
        <v>1.0</v>
      </c>
      <c r="E3131" s="279">
        <v>72000.0</v>
      </c>
      <c r="F3131" s="33">
        <f t="shared" ref="F3131:F3132" si="152">ROUND(IFERROR(D3131*E3131,0),0)</f>
        <v>72000</v>
      </c>
    </row>
    <row r="3132" ht="13.5" customHeight="1">
      <c r="A3132" s="21" t="s">
        <v>27</v>
      </c>
      <c r="B3132" s="21" t="s">
        <v>561</v>
      </c>
      <c r="C3132" s="21" t="s">
        <v>34</v>
      </c>
      <c r="D3132" s="21">
        <v>1.0</v>
      </c>
      <c r="E3132" s="279">
        <v>1500.0</v>
      </c>
      <c r="F3132" s="33">
        <f t="shared" si="152"/>
        <v>1500</v>
      </c>
    </row>
    <row r="3133" ht="13.5" customHeight="1">
      <c r="A3133" s="21"/>
      <c r="B3133" s="21"/>
      <c r="C3133" s="21"/>
      <c r="D3133" s="21"/>
      <c r="E3133" s="279"/>
      <c r="F3133" s="33"/>
    </row>
    <row r="3134" ht="13.5" customHeight="1">
      <c r="A3134" s="21"/>
      <c r="B3134" s="21"/>
      <c r="C3134" s="21"/>
      <c r="D3134" s="21"/>
      <c r="E3134" s="279"/>
      <c r="F3134" s="33"/>
    </row>
    <row r="3135" ht="13.5" customHeight="1">
      <c r="A3135" s="21"/>
      <c r="B3135" s="21"/>
      <c r="C3135" s="21"/>
      <c r="D3135" s="21"/>
      <c r="E3135" s="279"/>
      <c r="F3135" s="33"/>
    </row>
    <row r="3136" ht="13.5" customHeight="1">
      <c r="A3136" s="21"/>
      <c r="B3136" s="21"/>
      <c r="C3136" s="21"/>
      <c r="D3136" s="21"/>
      <c r="E3136" s="279"/>
      <c r="F3136" s="33"/>
    </row>
    <row r="3137" ht="13.5" customHeight="1">
      <c r="D3137" s="7"/>
      <c r="E3137" s="14" t="s">
        <v>37</v>
      </c>
      <c r="F3137" s="46">
        <f>SUM(F3131:F3136)</f>
        <v>73500</v>
      </c>
    </row>
    <row r="3138" ht="13.5" customHeight="1">
      <c r="D3138" s="7"/>
      <c r="E3138" s="9"/>
      <c r="F3138" s="9"/>
    </row>
    <row r="3139" ht="13.5" customHeight="1">
      <c r="A3139" s="14" t="s">
        <v>44</v>
      </c>
      <c r="D3139" s="7"/>
      <c r="E3139" s="9"/>
      <c r="F3139" s="9"/>
    </row>
    <row r="3140" ht="13.5" customHeight="1">
      <c r="A3140" s="18" t="s">
        <v>15</v>
      </c>
      <c r="B3140" s="18" t="s">
        <v>17</v>
      </c>
      <c r="C3140" s="18" t="s">
        <v>18</v>
      </c>
      <c r="D3140" s="18" t="s">
        <v>19</v>
      </c>
      <c r="E3140" s="18" t="s">
        <v>20</v>
      </c>
      <c r="F3140" s="18" t="s">
        <v>21</v>
      </c>
    </row>
    <row r="3141" ht="13.5" customHeight="1">
      <c r="A3141" s="21" t="s">
        <v>22</v>
      </c>
      <c r="B3141" s="21" t="s">
        <v>345</v>
      </c>
      <c r="C3141" s="21" t="s">
        <v>51</v>
      </c>
      <c r="D3141" s="187">
        <f>1/B3125</f>
        <v>0.1</v>
      </c>
      <c r="E3141" s="21">
        <v>65000.0</v>
      </c>
      <c r="F3141" s="33">
        <f t="shared" ref="F3141:F3142" si="153">ROUND(IFERROR(D3141*E3141,0),0)</f>
        <v>6500</v>
      </c>
    </row>
    <row r="3142" ht="13.5" customHeight="1">
      <c r="A3142" s="21" t="s">
        <v>27</v>
      </c>
      <c r="B3142" s="21" t="s">
        <v>54</v>
      </c>
      <c r="C3142" s="21" t="s">
        <v>51</v>
      </c>
      <c r="D3142" s="187">
        <f>1/B3125</f>
        <v>0.1</v>
      </c>
      <c r="E3142" s="21">
        <v>50000.0</v>
      </c>
      <c r="F3142" s="33">
        <f t="shared" si="153"/>
        <v>5000</v>
      </c>
    </row>
    <row r="3143" ht="13.5" customHeight="1">
      <c r="D3143" s="7"/>
      <c r="E3143" s="14" t="s">
        <v>37</v>
      </c>
      <c r="F3143" s="46">
        <f>SUM(F3141:F3142)</f>
        <v>11500</v>
      </c>
    </row>
    <row r="3144" ht="13.5" customHeight="1">
      <c r="D3144" s="7"/>
      <c r="E3144" s="14" t="s">
        <v>59</v>
      </c>
      <c r="F3144" s="46">
        <f>ROUND(F3143*0.5,0)</f>
        <v>5750</v>
      </c>
    </row>
    <row r="3145" ht="13.5" customHeight="1">
      <c r="D3145" s="7"/>
      <c r="E3145" s="14" t="s">
        <v>60</v>
      </c>
      <c r="F3145" s="46">
        <f>F3143+F3144</f>
        <v>17250</v>
      </c>
    </row>
    <row r="3146" ht="13.5" customHeight="1">
      <c r="D3146" s="7"/>
      <c r="E3146" s="9"/>
      <c r="F3146" s="9"/>
    </row>
    <row r="3147" ht="13.5" customHeight="1">
      <c r="A3147" s="14" t="s">
        <v>62</v>
      </c>
      <c r="D3147" s="7"/>
      <c r="E3147" s="9"/>
      <c r="F3147" s="9"/>
    </row>
    <row r="3148" ht="13.5" customHeight="1">
      <c r="A3148" s="18" t="s">
        <v>15</v>
      </c>
      <c r="B3148" s="18" t="s">
        <v>17</v>
      </c>
      <c r="C3148" s="18" t="s">
        <v>18</v>
      </c>
      <c r="D3148" s="18" t="s">
        <v>19</v>
      </c>
      <c r="E3148" s="18" t="s">
        <v>20</v>
      </c>
      <c r="F3148" s="18" t="s">
        <v>21</v>
      </c>
    </row>
    <row r="3149" ht="13.5" customHeight="1">
      <c r="A3149" s="21" t="s">
        <v>22</v>
      </c>
      <c r="B3149" s="21" t="s">
        <v>394</v>
      </c>
      <c r="C3149" s="21" t="s">
        <v>51</v>
      </c>
      <c r="D3149" s="144">
        <f>1/B3125</f>
        <v>0.1</v>
      </c>
      <c r="E3149" s="21">
        <v>45000.0</v>
      </c>
      <c r="F3149" s="33">
        <f>ROUND(IFERROR(D3149*E3149,0),0)</f>
        <v>4500</v>
      </c>
    </row>
    <row r="3150" ht="13.5" customHeight="1">
      <c r="A3150" s="21"/>
      <c r="B3150" s="21"/>
      <c r="C3150" s="21"/>
      <c r="D3150" s="144"/>
      <c r="E3150" s="21"/>
      <c r="F3150" s="33"/>
    </row>
    <row r="3151" ht="13.5" customHeight="1">
      <c r="D3151" s="7"/>
      <c r="E3151" s="14" t="s">
        <v>37</v>
      </c>
      <c r="F3151" s="46">
        <f>SUM(F3149:F3150)</f>
        <v>4500</v>
      </c>
    </row>
    <row r="3152" ht="13.5" customHeight="1">
      <c r="D3152" s="7"/>
      <c r="E3152" s="9"/>
      <c r="F3152" s="9"/>
    </row>
    <row r="3153" ht="13.5" customHeight="1">
      <c r="A3153" s="14" t="s">
        <v>74</v>
      </c>
      <c r="D3153" s="7"/>
      <c r="E3153" s="9"/>
      <c r="F3153" s="9"/>
    </row>
    <row r="3154" ht="13.5" customHeight="1">
      <c r="A3154" s="18"/>
      <c r="B3154" s="18" t="s">
        <v>17</v>
      </c>
      <c r="C3154" s="18" t="s">
        <v>18</v>
      </c>
      <c r="D3154" s="18" t="s">
        <v>19</v>
      </c>
      <c r="E3154" s="18" t="s">
        <v>20</v>
      </c>
      <c r="F3154" s="18" t="s">
        <v>21</v>
      </c>
    </row>
    <row r="3155" ht="13.5" customHeight="1">
      <c r="D3155" s="7"/>
      <c r="E3155" s="14" t="s">
        <v>77</v>
      </c>
      <c r="F3155" s="46">
        <f>F3137+F3145+F3151</f>
        <v>95250</v>
      </c>
    </row>
    <row r="3156" ht="13.5" customHeight="1">
      <c r="D3156" s="7"/>
      <c r="E3156" s="14" t="s">
        <v>6</v>
      </c>
      <c r="F3156" s="46">
        <f>ROUND(F3155*F3126,0)</f>
        <v>14288</v>
      </c>
    </row>
    <row r="3157" ht="13.5" customHeight="1">
      <c r="D3157" s="7"/>
      <c r="E3157" s="14" t="s">
        <v>8</v>
      </c>
      <c r="F3157" s="46">
        <f>ROUND(F3155*F3127,0)</f>
        <v>19050</v>
      </c>
    </row>
    <row r="3158" ht="13.5" customHeight="1">
      <c r="D3158" s="7"/>
      <c r="E3158" s="14" t="s">
        <v>81</v>
      </c>
      <c r="F3158" s="46">
        <f>F3155+F3156+F3157</f>
        <v>128588</v>
      </c>
    </row>
    <row r="3159" ht="13.5" customHeight="1">
      <c r="D3159" s="7"/>
      <c r="E3159" s="14" t="s">
        <v>82</v>
      </c>
      <c r="F3159" s="46">
        <f>ROUND(F3158*F3128,0)</f>
        <v>24432</v>
      </c>
    </row>
    <row r="3160" ht="13.5" customHeight="1">
      <c r="D3160" s="14" t="s">
        <v>425</v>
      </c>
      <c r="E3160" s="18" t="s">
        <v>84</v>
      </c>
      <c r="F3160" s="53">
        <f>F3158+F3159</f>
        <v>153020</v>
      </c>
    </row>
    <row r="3161" ht="13.5" customHeight="1"/>
    <row r="3162" ht="13.5" customHeight="1"/>
    <row r="3163" ht="13.5" customHeight="1"/>
    <row r="3164" ht="13.5" customHeight="1"/>
    <row r="3165" ht="13.5" customHeight="1"/>
    <row r="3166" ht="13.5" customHeight="1"/>
    <row r="3167" ht="13.5" customHeight="1"/>
    <row r="3168" ht="13.5" customHeight="1"/>
    <row r="3169" ht="13.5" customHeight="1">
      <c r="A3169" s="3" t="s">
        <v>1</v>
      </c>
      <c r="B3169" s="5">
        <v>20.0</v>
      </c>
      <c r="C3169" s="3" t="s">
        <v>2</v>
      </c>
      <c r="D3169" s="7"/>
      <c r="E3169" s="3" t="s">
        <v>3</v>
      </c>
      <c r="F3169" s="9"/>
    </row>
    <row r="3170" ht="13.5" customHeight="1">
      <c r="A3170" s="3" t="s">
        <v>4</v>
      </c>
      <c r="B3170" s="5" t="s">
        <v>30</v>
      </c>
      <c r="D3170" s="7"/>
      <c r="E3170" s="3" t="s">
        <v>6</v>
      </c>
      <c r="F3170" s="10">
        <v>0.15</v>
      </c>
    </row>
    <row r="3171" ht="13.5" customHeight="1">
      <c r="D3171" s="7"/>
      <c r="E3171" s="3" t="s">
        <v>8</v>
      </c>
      <c r="F3171" s="10">
        <v>0.2</v>
      </c>
    </row>
    <row r="3172" ht="13.5" customHeight="1">
      <c r="B3172" s="5" t="s">
        <v>578</v>
      </c>
      <c r="D3172" s="7"/>
      <c r="E3172" s="3" t="s">
        <v>10</v>
      </c>
      <c r="F3172" s="10">
        <v>0.19</v>
      </c>
    </row>
    <row r="3173" ht="13.5" customHeight="1">
      <c r="A3173" s="14" t="s">
        <v>11</v>
      </c>
      <c r="D3173" s="7"/>
      <c r="E3173" s="9"/>
      <c r="F3173" s="9"/>
    </row>
    <row r="3174" ht="13.5" customHeight="1">
      <c r="A3174" s="18" t="s">
        <v>15</v>
      </c>
      <c r="B3174" s="18" t="s">
        <v>17</v>
      </c>
      <c r="C3174" s="18" t="s">
        <v>18</v>
      </c>
      <c r="D3174" s="18" t="s">
        <v>19</v>
      </c>
      <c r="E3174" s="18" t="s">
        <v>20</v>
      </c>
      <c r="F3174" s="18" t="s">
        <v>21</v>
      </c>
    </row>
    <row r="3175" ht="13.5" customHeight="1">
      <c r="A3175" s="21" t="s">
        <v>22</v>
      </c>
      <c r="B3175" s="21" t="s">
        <v>579</v>
      </c>
      <c r="C3175" s="21" t="s">
        <v>30</v>
      </c>
      <c r="D3175" s="21">
        <v>1.0</v>
      </c>
      <c r="E3175" s="279">
        <v>15000.0</v>
      </c>
      <c r="F3175" s="33">
        <f t="shared" ref="F3175:F3176" si="154">ROUND(IFERROR(D3175*E3175,0),0)</f>
        <v>15000</v>
      </c>
    </row>
    <row r="3176" ht="13.5" customHeight="1">
      <c r="A3176" s="21" t="s">
        <v>27</v>
      </c>
      <c r="B3176" s="21" t="s">
        <v>561</v>
      </c>
      <c r="C3176" s="21" t="s">
        <v>34</v>
      </c>
      <c r="D3176" s="21">
        <v>1.0</v>
      </c>
      <c r="E3176" s="279">
        <v>1500.0</v>
      </c>
      <c r="F3176" s="33">
        <f t="shared" si="154"/>
        <v>1500</v>
      </c>
    </row>
    <row r="3177" ht="13.5" customHeight="1">
      <c r="A3177" s="21"/>
      <c r="B3177" s="21"/>
      <c r="C3177" s="21"/>
      <c r="D3177" s="21"/>
      <c r="E3177" s="279"/>
      <c r="F3177" s="33"/>
    </row>
    <row r="3178" ht="13.5" customHeight="1">
      <c r="A3178" s="21"/>
      <c r="B3178" s="21"/>
      <c r="C3178" s="21"/>
      <c r="D3178" s="21"/>
      <c r="E3178" s="279"/>
      <c r="F3178" s="33"/>
    </row>
    <row r="3179" ht="13.5" customHeight="1">
      <c r="A3179" s="21"/>
      <c r="B3179" s="21"/>
      <c r="C3179" s="21"/>
      <c r="D3179" s="21"/>
      <c r="E3179" s="279"/>
      <c r="F3179" s="33"/>
    </row>
    <row r="3180" ht="13.5" customHeight="1">
      <c r="A3180" s="21"/>
      <c r="B3180" s="21"/>
      <c r="C3180" s="21"/>
      <c r="D3180" s="21"/>
      <c r="E3180" s="279"/>
      <c r="F3180" s="33"/>
    </row>
    <row r="3181" ht="13.5" customHeight="1">
      <c r="D3181" s="7"/>
      <c r="E3181" s="14" t="s">
        <v>37</v>
      </c>
      <c r="F3181" s="46">
        <f>SUM(F3175:F3180)</f>
        <v>16500</v>
      </c>
    </row>
    <row r="3182" ht="13.5" customHeight="1">
      <c r="D3182" s="7"/>
      <c r="E3182" s="9"/>
      <c r="F3182" s="9"/>
    </row>
    <row r="3183" ht="13.5" customHeight="1">
      <c r="A3183" s="14" t="s">
        <v>44</v>
      </c>
      <c r="D3183" s="7"/>
      <c r="E3183" s="9"/>
      <c r="F3183" s="9"/>
    </row>
    <row r="3184" ht="13.5" customHeight="1">
      <c r="A3184" s="18" t="s">
        <v>15</v>
      </c>
      <c r="B3184" s="18" t="s">
        <v>17</v>
      </c>
      <c r="C3184" s="18" t="s">
        <v>18</v>
      </c>
      <c r="D3184" s="18" t="s">
        <v>19</v>
      </c>
      <c r="E3184" s="18" t="s">
        <v>20</v>
      </c>
      <c r="F3184" s="18" t="s">
        <v>21</v>
      </c>
    </row>
    <row r="3185" ht="13.5" customHeight="1">
      <c r="A3185" s="21" t="s">
        <v>22</v>
      </c>
      <c r="B3185" s="21" t="s">
        <v>345</v>
      </c>
      <c r="C3185" s="21" t="s">
        <v>51</v>
      </c>
      <c r="D3185" s="187">
        <f>ROUND(1/B3169,2)</f>
        <v>0.05</v>
      </c>
      <c r="E3185" s="21">
        <v>65000.0</v>
      </c>
      <c r="F3185" s="33">
        <f t="shared" ref="F3185:F3186" si="155">ROUND(IFERROR(D3185*E3185,0),0)</f>
        <v>3250</v>
      </c>
    </row>
    <row r="3186" ht="13.5" customHeight="1">
      <c r="A3186" s="21" t="s">
        <v>27</v>
      </c>
      <c r="B3186" s="21" t="s">
        <v>54</v>
      </c>
      <c r="C3186" s="21" t="s">
        <v>51</v>
      </c>
      <c r="D3186" s="187">
        <f>ROUND(1/B3169,2)</f>
        <v>0.05</v>
      </c>
      <c r="E3186" s="21">
        <v>50000.0</v>
      </c>
      <c r="F3186" s="33">
        <f t="shared" si="155"/>
        <v>2500</v>
      </c>
    </row>
    <row r="3187" ht="13.5" customHeight="1">
      <c r="D3187" s="7"/>
      <c r="E3187" s="14" t="s">
        <v>37</v>
      </c>
      <c r="F3187" s="46">
        <f>SUM(F3185:F3186)</f>
        <v>5750</v>
      </c>
    </row>
    <row r="3188" ht="13.5" customHeight="1">
      <c r="D3188" s="7"/>
      <c r="E3188" s="14" t="s">
        <v>59</v>
      </c>
      <c r="F3188" s="46">
        <f>ROUND(F3187*0.5,0)</f>
        <v>2875</v>
      </c>
    </row>
    <row r="3189" ht="13.5" customHeight="1">
      <c r="D3189" s="7"/>
      <c r="E3189" s="14" t="s">
        <v>60</v>
      </c>
      <c r="F3189" s="46">
        <f>F3187+F3188</f>
        <v>8625</v>
      </c>
    </row>
    <row r="3190" ht="13.5" customHeight="1">
      <c r="D3190" s="7"/>
      <c r="E3190" s="9"/>
      <c r="F3190" s="9"/>
    </row>
    <row r="3191" ht="13.5" customHeight="1">
      <c r="A3191" s="14" t="s">
        <v>62</v>
      </c>
      <c r="D3191" s="7"/>
      <c r="E3191" s="9"/>
      <c r="F3191" s="9"/>
    </row>
    <row r="3192" ht="13.5" customHeight="1">
      <c r="A3192" s="18" t="s">
        <v>15</v>
      </c>
      <c r="B3192" s="18" t="s">
        <v>17</v>
      </c>
      <c r="C3192" s="18" t="s">
        <v>18</v>
      </c>
      <c r="D3192" s="18" t="s">
        <v>19</v>
      </c>
      <c r="E3192" s="18" t="s">
        <v>20</v>
      </c>
      <c r="F3192" s="18" t="s">
        <v>21</v>
      </c>
    </row>
    <row r="3193" ht="13.5" customHeight="1">
      <c r="A3193" s="21" t="s">
        <v>22</v>
      </c>
      <c r="B3193" s="21" t="s">
        <v>394</v>
      </c>
      <c r="C3193" s="21" t="s">
        <v>51</v>
      </c>
      <c r="D3193" s="144">
        <f>ROUND(1/B3169,2)</f>
        <v>0.05</v>
      </c>
      <c r="E3193" s="21">
        <v>45000.0</v>
      </c>
      <c r="F3193" s="33">
        <f>ROUND(IFERROR(D3193*E3193,0),0)</f>
        <v>2250</v>
      </c>
    </row>
    <row r="3194" ht="13.5" customHeight="1">
      <c r="A3194" s="21"/>
      <c r="B3194" s="21"/>
      <c r="C3194" s="21"/>
      <c r="D3194" s="144"/>
      <c r="E3194" s="21"/>
      <c r="F3194" s="33"/>
    </row>
    <row r="3195" ht="13.5" customHeight="1">
      <c r="D3195" s="7"/>
      <c r="E3195" s="14" t="s">
        <v>37</v>
      </c>
      <c r="F3195" s="46">
        <f>SUM(F3193:F3194)</f>
        <v>2250</v>
      </c>
    </row>
    <row r="3196" ht="13.5" customHeight="1">
      <c r="D3196" s="7"/>
      <c r="E3196" s="9"/>
      <c r="F3196" s="9"/>
    </row>
    <row r="3197" ht="13.5" customHeight="1">
      <c r="A3197" s="14" t="s">
        <v>74</v>
      </c>
      <c r="D3197" s="7"/>
      <c r="E3197" s="9"/>
      <c r="F3197" s="9"/>
    </row>
    <row r="3198" ht="13.5" customHeight="1">
      <c r="A3198" s="18"/>
      <c r="B3198" s="18" t="s">
        <v>17</v>
      </c>
      <c r="C3198" s="18" t="s">
        <v>18</v>
      </c>
      <c r="D3198" s="18" t="s">
        <v>19</v>
      </c>
      <c r="E3198" s="18" t="s">
        <v>20</v>
      </c>
      <c r="F3198" s="18" t="s">
        <v>21</v>
      </c>
    </row>
    <row r="3199" ht="13.5" customHeight="1">
      <c r="D3199" s="7"/>
      <c r="E3199" s="14" t="s">
        <v>77</v>
      </c>
      <c r="F3199" s="46">
        <f>F3181+F3189+F3195</f>
        <v>27375</v>
      </c>
    </row>
    <row r="3200" ht="13.5" customHeight="1">
      <c r="D3200" s="7"/>
      <c r="E3200" s="14" t="s">
        <v>6</v>
      </c>
      <c r="F3200" s="46">
        <f>ROUND(F3199*F3170,0)</f>
        <v>4106</v>
      </c>
    </row>
    <row r="3201" ht="13.5" customHeight="1">
      <c r="D3201" s="7"/>
      <c r="E3201" s="14" t="s">
        <v>8</v>
      </c>
      <c r="F3201" s="46">
        <f>ROUND(F3199*F3171,0)</f>
        <v>5475</v>
      </c>
    </row>
    <row r="3202" ht="13.5" customHeight="1">
      <c r="D3202" s="7"/>
      <c r="E3202" s="14" t="s">
        <v>81</v>
      </c>
      <c r="F3202" s="46">
        <f>F3199+F3200+F3201</f>
        <v>36956</v>
      </c>
    </row>
    <row r="3203" ht="13.5" customHeight="1">
      <c r="D3203" s="7"/>
      <c r="E3203" s="14" t="s">
        <v>82</v>
      </c>
      <c r="F3203" s="46">
        <f>ROUND(F3202*F3172,0)</f>
        <v>7022</v>
      </c>
    </row>
    <row r="3204" ht="13.5" customHeight="1">
      <c r="D3204" s="14" t="s">
        <v>425</v>
      </c>
      <c r="E3204" s="18" t="s">
        <v>84</v>
      </c>
      <c r="F3204" s="53">
        <f>F3202+F3203</f>
        <v>43978</v>
      </c>
    </row>
    <row r="3205" ht="13.5" customHeight="1"/>
    <row r="3206" ht="13.5" customHeight="1"/>
    <row r="3207" ht="13.5" customHeight="1"/>
    <row r="3208" ht="13.5" customHeight="1"/>
    <row r="3209" ht="13.5" customHeight="1"/>
    <row r="3210" ht="13.5" customHeight="1"/>
    <row r="3211" ht="13.5" customHeight="1"/>
    <row r="3212" ht="13.5" customHeight="1"/>
    <row r="3213" ht="13.5" customHeight="1">
      <c r="A3213" s="3" t="s">
        <v>1</v>
      </c>
      <c r="B3213" s="5">
        <v>5.0</v>
      </c>
      <c r="C3213" s="3" t="s">
        <v>2</v>
      </c>
      <c r="D3213" s="7"/>
      <c r="E3213" s="3" t="s">
        <v>3</v>
      </c>
      <c r="F3213" s="9"/>
    </row>
    <row r="3214" ht="13.5" customHeight="1">
      <c r="A3214" s="3" t="s">
        <v>4</v>
      </c>
      <c r="B3214" s="5" t="s">
        <v>30</v>
      </c>
      <c r="D3214" s="7"/>
      <c r="E3214" s="3" t="s">
        <v>6</v>
      </c>
      <c r="F3214" s="10">
        <v>0.15</v>
      </c>
    </row>
    <row r="3215" ht="13.5" customHeight="1">
      <c r="D3215" s="7"/>
      <c r="E3215" s="3" t="s">
        <v>8</v>
      </c>
      <c r="F3215" s="10">
        <v>0.2</v>
      </c>
    </row>
    <row r="3216" ht="13.5" customHeight="1">
      <c r="B3216" s="5" t="s">
        <v>580</v>
      </c>
      <c r="D3216" s="7"/>
      <c r="E3216" s="3" t="s">
        <v>10</v>
      </c>
      <c r="F3216" s="10">
        <v>0.19</v>
      </c>
    </row>
    <row r="3217" ht="13.5" customHeight="1">
      <c r="A3217" s="14" t="s">
        <v>11</v>
      </c>
      <c r="D3217" s="7"/>
      <c r="E3217" s="9"/>
      <c r="F3217" s="9"/>
    </row>
    <row r="3218" ht="13.5" customHeight="1">
      <c r="A3218" s="18" t="s">
        <v>15</v>
      </c>
      <c r="B3218" s="18" t="s">
        <v>17</v>
      </c>
      <c r="C3218" s="18" t="s">
        <v>18</v>
      </c>
      <c r="D3218" s="18" t="s">
        <v>19</v>
      </c>
      <c r="E3218" s="18" t="s">
        <v>20</v>
      </c>
      <c r="F3218" s="18" t="s">
        <v>21</v>
      </c>
    </row>
    <row r="3219" ht="13.5" customHeight="1">
      <c r="A3219" s="21" t="s">
        <v>22</v>
      </c>
      <c r="B3219" s="21" t="s">
        <v>581</v>
      </c>
      <c r="C3219" s="21" t="s">
        <v>30</v>
      </c>
      <c r="D3219" s="21">
        <v>1.0</v>
      </c>
      <c r="E3219" s="279">
        <v>149000.0</v>
      </c>
      <c r="F3219" s="33">
        <f t="shared" ref="F3219:F3220" si="156">ROUND(IFERROR(D3219*E3219,0),0)</f>
        <v>149000</v>
      </c>
    </row>
    <row r="3220" ht="13.5" customHeight="1">
      <c r="A3220" s="21" t="s">
        <v>27</v>
      </c>
      <c r="B3220" s="21" t="s">
        <v>561</v>
      </c>
      <c r="C3220" s="21" t="s">
        <v>34</v>
      </c>
      <c r="D3220" s="21">
        <v>1.0</v>
      </c>
      <c r="E3220" s="279">
        <v>1500.0</v>
      </c>
      <c r="F3220" s="33">
        <f t="shared" si="156"/>
        <v>1500</v>
      </c>
    </row>
    <row r="3221" ht="13.5" customHeight="1">
      <c r="A3221" s="21"/>
      <c r="B3221" s="21"/>
      <c r="C3221" s="21"/>
      <c r="D3221" s="21"/>
      <c r="E3221" s="279"/>
      <c r="F3221" s="33"/>
    </row>
    <row r="3222" ht="13.5" customHeight="1">
      <c r="A3222" s="21"/>
      <c r="B3222" s="21"/>
      <c r="C3222" s="21"/>
      <c r="D3222" s="21"/>
      <c r="E3222" s="279"/>
      <c r="F3222" s="33"/>
    </row>
    <row r="3223" ht="13.5" customHeight="1">
      <c r="A3223" s="21"/>
      <c r="B3223" s="21"/>
      <c r="C3223" s="21"/>
      <c r="D3223" s="21"/>
      <c r="E3223" s="279"/>
      <c r="F3223" s="33"/>
    </row>
    <row r="3224" ht="13.5" customHeight="1">
      <c r="A3224" s="21"/>
      <c r="B3224" s="21"/>
      <c r="C3224" s="21"/>
      <c r="D3224" s="21"/>
      <c r="E3224" s="279"/>
      <c r="F3224" s="33"/>
    </row>
    <row r="3225" ht="13.5" customHeight="1">
      <c r="D3225" s="7"/>
      <c r="E3225" s="14" t="s">
        <v>37</v>
      </c>
      <c r="F3225" s="46">
        <f>SUM(F3219:F3224)</f>
        <v>150500</v>
      </c>
    </row>
    <row r="3226" ht="13.5" customHeight="1">
      <c r="D3226" s="7"/>
      <c r="E3226" s="9"/>
      <c r="F3226" s="48"/>
    </row>
    <row r="3227" ht="13.5" customHeight="1">
      <c r="A3227" s="14" t="s">
        <v>44</v>
      </c>
      <c r="D3227" s="7"/>
      <c r="E3227" s="9"/>
      <c r="F3227" s="9"/>
    </row>
    <row r="3228" ht="13.5" customHeight="1">
      <c r="A3228" s="18" t="s">
        <v>15</v>
      </c>
      <c r="B3228" s="18" t="s">
        <v>17</v>
      </c>
      <c r="C3228" s="18" t="s">
        <v>18</v>
      </c>
      <c r="D3228" s="18" t="s">
        <v>19</v>
      </c>
      <c r="E3228" s="18" t="s">
        <v>20</v>
      </c>
      <c r="F3228" s="18" t="s">
        <v>21</v>
      </c>
    </row>
    <row r="3229" ht="13.5" customHeight="1">
      <c r="A3229" s="21" t="s">
        <v>22</v>
      </c>
      <c r="B3229" s="21" t="s">
        <v>345</v>
      </c>
      <c r="C3229" s="21" t="s">
        <v>51</v>
      </c>
      <c r="D3229" s="187">
        <f>1/B3213</f>
        <v>0.2</v>
      </c>
      <c r="E3229" s="21">
        <v>65000.0</v>
      </c>
      <c r="F3229" s="33">
        <f t="shared" ref="F3229:F3230" si="157">ROUND(IFERROR(D3229*E3229,0),0)</f>
        <v>13000</v>
      </c>
    </row>
    <row r="3230" ht="13.5" customHeight="1">
      <c r="A3230" s="21" t="s">
        <v>27</v>
      </c>
      <c r="B3230" s="21" t="s">
        <v>54</v>
      </c>
      <c r="C3230" s="21" t="s">
        <v>51</v>
      </c>
      <c r="D3230" s="187">
        <f>1/B3213</f>
        <v>0.2</v>
      </c>
      <c r="E3230" s="21">
        <v>50000.0</v>
      </c>
      <c r="F3230" s="33">
        <f t="shared" si="157"/>
        <v>10000</v>
      </c>
    </row>
    <row r="3231" ht="13.5" customHeight="1">
      <c r="D3231" s="7"/>
      <c r="E3231" s="14" t="s">
        <v>37</v>
      </c>
      <c r="F3231" s="46">
        <f>SUM(F3229:F3230)</f>
        <v>23000</v>
      </c>
    </row>
    <row r="3232" ht="13.5" customHeight="1">
      <c r="D3232" s="7"/>
      <c r="E3232" s="14" t="s">
        <v>59</v>
      </c>
      <c r="F3232" s="46">
        <f>ROUND(F3231*0.5,0)</f>
        <v>11500</v>
      </c>
    </row>
    <row r="3233" ht="13.5" customHeight="1">
      <c r="D3233" s="7"/>
      <c r="E3233" s="14" t="s">
        <v>60</v>
      </c>
      <c r="F3233" s="46">
        <f>F3231+F3232</f>
        <v>34500</v>
      </c>
    </row>
    <row r="3234" ht="13.5" customHeight="1">
      <c r="D3234" s="7"/>
      <c r="E3234" s="9"/>
      <c r="F3234" s="9"/>
    </row>
    <row r="3235" ht="13.5" customHeight="1">
      <c r="A3235" s="14" t="s">
        <v>62</v>
      </c>
      <c r="D3235" s="7"/>
      <c r="E3235" s="9"/>
      <c r="F3235" s="9"/>
    </row>
    <row r="3236" ht="13.5" customHeight="1">
      <c r="A3236" s="18" t="s">
        <v>15</v>
      </c>
      <c r="B3236" s="18" t="s">
        <v>17</v>
      </c>
      <c r="C3236" s="18" t="s">
        <v>18</v>
      </c>
      <c r="D3236" s="18" t="s">
        <v>19</v>
      </c>
      <c r="E3236" s="18" t="s">
        <v>20</v>
      </c>
      <c r="F3236" s="18" t="s">
        <v>21</v>
      </c>
    </row>
    <row r="3237" ht="13.5" customHeight="1">
      <c r="A3237" s="21" t="s">
        <v>22</v>
      </c>
      <c r="B3237" s="21" t="s">
        <v>394</v>
      </c>
      <c r="C3237" s="21" t="s">
        <v>51</v>
      </c>
      <c r="D3237" s="144">
        <f>1/B3213</f>
        <v>0.2</v>
      </c>
      <c r="E3237" s="21">
        <v>45000.0</v>
      </c>
      <c r="F3237" s="33">
        <f>ROUND(IFERROR(D3237*E3237,0),0)</f>
        <v>9000</v>
      </c>
    </row>
    <row r="3238" ht="13.5" customHeight="1">
      <c r="A3238" s="21"/>
      <c r="B3238" s="21"/>
      <c r="C3238" s="21"/>
      <c r="D3238" s="144"/>
      <c r="E3238" s="21"/>
      <c r="F3238" s="33"/>
    </row>
    <row r="3239" ht="13.5" customHeight="1">
      <c r="D3239" s="7"/>
      <c r="E3239" s="14" t="s">
        <v>37</v>
      </c>
      <c r="F3239" s="46">
        <f>SUM(F3237:F3238)</f>
        <v>9000</v>
      </c>
    </row>
    <row r="3240" ht="13.5" customHeight="1">
      <c r="D3240" s="7"/>
      <c r="E3240" s="9"/>
      <c r="F3240" s="9"/>
    </row>
    <row r="3241" ht="13.5" customHeight="1">
      <c r="A3241" s="14" t="s">
        <v>74</v>
      </c>
      <c r="D3241" s="7"/>
      <c r="E3241" s="9"/>
      <c r="F3241" s="9"/>
    </row>
    <row r="3242" ht="13.5" customHeight="1">
      <c r="A3242" s="18"/>
      <c r="B3242" s="18" t="s">
        <v>17</v>
      </c>
      <c r="C3242" s="18" t="s">
        <v>18</v>
      </c>
      <c r="D3242" s="18" t="s">
        <v>19</v>
      </c>
      <c r="E3242" s="18" t="s">
        <v>20</v>
      </c>
      <c r="F3242" s="18" t="s">
        <v>21</v>
      </c>
    </row>
    <row r="3243" ht="13.5" customHeight="1">
      <c r="D3243" s="7"/>
      <c r="E3243" s="14" t="s">
        <v>77</v>
      </c>
      <c r="F3243" s="46">
        <f>F3225+F3233+F3239</f>
        <v>194000</v>
      </c>
    </row>
    <row r="3244" ht="13.5" customHeight="1">
      <c r="D3244" s="7"/>
      <c r="E3244" s="14" t="s">
        <v>6</v>
      </c>
      <c r="F3244" s="46">
        <f>ROUND(F3243*F3214,0)</f>
        <v>29100</v>
      </c>
    </row>
    <row r="3245" ht="13.5" customHeight="1">
      <c r="D3245" s="7"/>
      <c r="E3245" s="14" t="s">
        <v>8</v>
      </c>
      <c r="F3245" s="46">
        <f>ROUND(F3243*F3215,0)</f>
        <v>38800</v>
      </c>
    </row>
    <row r="3246" ht="13.5" customHeight="1">
      <c r="D3246" s="7"/>
      <c r="E3246" s="14" t="s">
        <v>81</v>
      </c>
      <c r="F3246" s="46">
        <f>F3243+F3244+F3245</f>
        <v>261900</v>
      </c>
    </row>
    <row r="3247" ht="13.5" customHeight="1">
      <c r="D3247" s="7"/>
      <c r="E3247" s="14" t="s">
        <v>82</v>
      </c>
      <c r="F3247" s="46">
        <f>ROUND(F3246*F3216,0)</f>
        <v>49761</v>
      </c>
    </row>
    <row r="3248" ht="13.5" customHeight="1">
      <c r="D3248" s="14" t="s">
        <v>425</v>
      </c>
      <c r="E3248" s="18" t="s">
        <v>84</v>
      </c>
      <c r="F3248" s="53">
        <f>F3246+F3247</f>
        <v>311661</v>
      </c>
    </row>
    <row r="3249" ht="13.5" customHeight="1"/>
    <row r="3250" ht="13.5" customHeight="1"/>
    <row r="3251" ht="13.5" customHeight="1"/>
    <row r="3252" ht="13.5" customHeight="1"/>
    <row r="3253" ht="13.5" customHeight="1"/>
    <row r="3254" ht="13.5" customHeight="1"/>
    <row r="3255" ht="13.5" customHeight="1"/>
    <row r="3256" ht="13.5" customHeight="1"/>
    <row r="3257" ht="13.5" customHeight="1">
      <c r="A3257" s="3" t="s">
        <v>1</v>
      </c>
      <c r="B3257" s="5">
        <v>5.0</v>
      </c>
      <c r="C3257" s="3" t="s">
        <v>2</v>
      </c>
      <c r="D3257" s="7"/>
      <c r="E3257" s="3" t="s">
        <v>3</v>
      </c>
      <c r="F3257" s="9"/>
    </row>
    <row r="3258" ht="13.5" customHeight="1">
      <c r="A3258" s="3" t="s">
        <v>4</v>
      </c>
      <c r="B3258" s="5" t="s">
        <v>30</v>
      </c>
      <c r="D3258" s="7"/>
      <c r="E3258" s="3" t="s">
        <v>6</v>
      </c>
      <c r="F3258" s="10">
        <v>0.15</v>
      </c>
    </row>
    <row r="3259" ht="13.5" customHeight="1">
      <c r="D3259" s="7"/>
      <c r="E3259" s="3" t="s">
        <v>8</v>
      </c>
      <c r="F3259" s="10">
        <v>0.2</v>
      </c>
    </row>
    <row r="3260" ht="13.5" customHeight="1">
      <c r="B3260" s="5" t="s">
        <v>582</v>
      </c>
      <c r="D3260" s="7"/>
      <c r="E3260" s="3" t="s">
        <v>10</v>
      </c>
      <c r="F3260" s="10">
        <v>0.19</v>
      </c>
    </row>
    <row r="3261" ht="13.5" customHeight="1">
      <c r="A3261" s="14" t="s">
        <v>11</v>
      </c>
      <c r="D3261" s="7"/>
      <c r="E3261" s="9"/>
      <c r="F3261" s="9"/>
    </row>
    <row r="3262" ht="13.5" customHeight="1">
      <c r="A3262" s="18" t="s">
        <v>15</v>
      </c>
      <c r="B3262" s="18" t="s">
        <v>17</v>
      </c>
      <c r="C3262" s="18" t="s">
        <v>18</v>
      </c>
      <c r="D3262" s="18" t="s">
        <v>19</v>
      </c>
      <c r="E3262" s="18" t="s">
        <v>20</v>
      </c>
      <c r="F3262" s="18" t="s">
        <v>21</v>
      </c>
    </row>
    <row r="3263" ht="13.5" customHeight="1">
      <c r="A3263" s="21" t="s">
        <v>22</v>
      </c>
      <c r="B3263" s="21" t="s">
        <v>583</v>
      </c>
      <c r="C3263" s="21" t="s">
        <v>30</v>
      </c>
      <c r="D3263" s="21">
        <v>1.0</v>
      </c>
      <c r="E3263" s="279">
        <v>119000.0</v>
      </c>
      <c r="F3263" s="33">
        <f t="shared" ref="F3263:F3264" si="158">ROUND(IFERROR(D3263*E3263,0),0)</f>
        <v>119000</v>
      </c>
    </row>
    <row r="3264" ht="13.5" customHeight="1">
      <c r="A3264" s="21" t="s">
        <v>27</v>
      </c>
      <c r="B3264" s="21" t="s">
        <v>561</v>
      </c>
      <c r="C3264" s="21" t="s">
        <v>34</v>
      </c>
      <c r="D3264" s="21">
        <v>1.0</v>
      </c>
      <c r="E3264" s="279">
        <v>1500.0</v>
      </c>
      <c r="F3264" s="33">
        <f t="shared" si="158"/>
        <v>1500</v>
      </c>
    </row>
    <row r="3265" ht="13.5" customHeight="1">
      <c r="A3265" s="21"/>
      <c r="B3265" s="21"/>
      <c r="C3265" s="21"/>
      <c r="D3265" s="21"/>
      <c r="E3265" s="279"/>
      <c r="F3265" s="33"/>
    </row>
    <row r="3266" ht="13.5" customHeight="1">
      <c r="A3266" s="21"/>
      <c r="B3266" s="21"/>
      <c r="C3266" s="21"/>
      <c r="D3266" s="21"/>
      <c r="E3266" s="279"/>
      <c r="F3266" s="33"/>
    </row>
    <row r="3267" ht="13.5" customHeight="1">
      <c r="A3267" s="21"/>
      <c r="B3267" s="21"/>
      <c r="C3267" s="21"/>
      <c r="D3267" s="21"/>
      <c r="E3267" s="279"/>
      <c r="F3267" s="33"/>
    </row>
    <row r="3268" ht="13.5" customHeight="1">
      <c r="A3268" s="21"/>
      <c r="B3268" s="21"/>
      <c r="C3268" s="21"/>
      <c r="D3268" s="21"/>
      <c r="E3268" s="279"/>
      <c r="F3268" s="33"/>
    </row>
    <row r="3269" ht="13.5" customHeight="1">
      <c r="D3269" s="7"/>
      <c r="E3269" s="14" t="s">
        <v>37</v>
      </c>
      <c r="F3269" s="46">
        <f>SUM(F3263:F3268)</f>
        <v>120500</v>
      </c>
    </row>
    <row r="3270" ht="13.5" customHeight="1">
      <c r="D3270" s="7"/>
      <c r="E3270" s="9"/>
      <c r="F3270" s="9"/>
    </row>
    <row r="3271" ht="13.5" customHeight="1">
      <c r="A3271" s="14" t="s">
        <v>44</v>
      </c>
      <c r="D3271" s="7"/>
      <c r="E3271" s="9"/>
      <c r="F3271" s="9"/>
    </row>
    <row r="3272" ht="13.5" customHeight="1">
      <c r="A3272" s="18" t="s">
        <v>15</v>
      </c>
      <c r="B3272" s="18" t="s">
        <v>17</v>
      </c>
      <c r="C3272" s="18" t="s">
        <v>18</v>
      </c>
      <c r="D3272" s="18" t="s">
        <v>19</v>
      </c>
      <c r="E3272" s="18" t="s">
        <v>20</v>
      </c>
      <c r="F3272" s="18" t="s">
        <v>21</v>
      </c>
    </row>
    <row r="3273" ht="13.5" customHeight="1">
      <c r="A3273" s="21" t="s">
        <v>22</v>
      </c>
      <c r="B3273" s="21" t="s">
        <v>345</v>
      </c>
      <c r="C3273" s="21" t="s">
        <v>51</v>
      </c>
      <c r="D3273" s="187">
        <f>1/B3257</f>
        <v>0.2</v>
      </c>
      <c r="E3273" s="21">
        <v>65000.0</v>
      </c>
      <c r="F3273" s="33">
        <f t="shared" ref="F3273:F3274" si="159">ROUND(IFERROR(D3273*E3273,0),0)</f>
        <v>13000</v>
      </c>
    </row>
    <row r="3274" ht="13.5" customHeight="1">
      <c r="A3274" s="21" t="s">
        <v>27</v>
      </c>
      <c r="B3274" s="21" t="s">
        <v>54</v>
      </c>
      <c r="C3274" s="21" t="s">
        <v>51</v>
      </c>
      <c r="D3274" s="187">
        <f>1/B3257</f>
        <v>0.2</v>
      </c>
      <c r="E3274" s="21">
        <v>50000.0</v>
      </c>
      <c r="F3274" s="33">
        <f t="shared" si="159"/>
        <v>10000</v>
      </c>
    </row>
    <row r="3275" ht="13.5" customHeight="1">
      <c r="D3275" s="7"/>
      <c r="E3275" s="14" t="s">
        <v>37</v>
      </c>
      <c r="F3275" s="46">
        <f>SUM(F3273:F3274)</f>
        <v>23000</v>
      </c>
    </row>
    <row r="3276" ht="13.5" customHeight="1">
      <c r="D3276" s="7"/>
      <c r="E3276" s="14" t="s">
        <v>59</v>
      </c>
      <c r="F3276" s="46">
        <f>ROUND(F3275*0.5,0)</f>
        <v>11500</v>
      </c>
    </row>
    <row r="3277" ht="13.5" customHeight="1">
      <c r="D3277" s="7"/>
      <c r="E3277" s="14" t="s">
        <v>60</v>
      </c>
      <c r="F3277" s="46">
        <f>F3275+F3276</f>
        <v>34500</v>
      </c>
    </row>
    <row r="3278" ht="13.5" customHeight="1">
      <c r="D3278" s="7"/>
      <c r="E3278" s="9"/>
      <c r="F3278" s="9"/>
    </row>
    <row r="3279" ht="13.5" customHeight="1">
      <c r="A3279" s="14" t="s">
        <v>62</v>
      </c>
      <c r="D3279" s="7"/>
      <c r="E3279" s="9"/>
      <c r="F3279" s="9"/>
    </row>
    <row r="3280" ht="13.5" customHeight="1">
      <c r="A3280" s="18" t="s">
        <v>15</v>
      </c>
      <c r="B3280" s="18" t="s">
        <v>17</v>
      </c>
      <c r="C3280" s="18" t="s">
        <v>18</v>
      </c>
      <c r="D3280" s="18" t="s">
        <v>19</v>
      </c>
      <c r="E3280" s="18" t="s">
        <v>20</v>
      </c>
      <c r="F3280" s="18" t="s">
        <v>21</v>
      </c>
    </row>
    <row r="3281" ht="13.5" customHeight="1">
      <c r="A3281" s="21" t="s">
        <v>22</v>
      </c>
      <c r="B3281" s="21" t="s">
        <v>394</v>
      </c>
      <c r="C3281" s="21" t="s">
        <v>51</v>
      </c>
      <c r="D3281" s="144">
        <f>1/B3257</f>
        <v>0.2</v>
      </c>
      <c r="E3281" s="21">
        <v>45000.0</v>
      </c>
      <c r="F3281" s="33">
        <f>ROUND(IFERROR(D3281*E3281,0),0)</f>
        <v>9000</v>
      </c>
    </row>
    <row r="3282" ht="13.5" customHeight="1">
      <c r="A3282" s="21"/>
      <c r="B3282" s="21"/>
      <c r="C3282" s="21"/>
      <c r="D3282" s="144"/>
      <c r="E3282" s="21"/>
      <c r="F3282" s="33"/>
    </row>
    <row r="3283" ht="13.5" customHeight="1">
      <c r="D3283" s="7"/>
      <c r="E3283" s="14" t="s">
        <v>37</v>
      </c>
      <c r="F3283" s="46">
        <f>SUM(F3281:F3282)</f>
        <v>9000</v>
      </c>
    </row>
    <row r="3284" ht="13.5" customHeight="1">
      <c r="D3284" s="7"/>
      <c r="E3284" s="9"/>
      <c r="F3284" s="9"/>
    </row>
    <row r="3285" ht="13.5" customHeight="1">
      <c r="A3285" s="14" t="s">
        <v>74</v>
      </c>
      <c r="D3285" s="7"/>
      <c r="E3285" s="9"/>
      <c r="F3285" s="9"/>
    </row>
    <row r="3286" ht="13.5" customHeight="1">
      <c r="A3286" s="18"/>
      <c r="B3286" s="18" t="s">
        <v>17</v>
      </c>
      <c r="C3286" s="18" t="s">
        <v>18</v>
      </c>
      <c r="D3286" s="18" t="s">
        <v>19</v>
      </c>
      <c r="E3286" s="18" t="s">
        <v>20</v>
      </c>
      <c r="F3286" s="18" t="s">
        <v>21</v>
      </c>
    </row>
    <row r="3287" ht="13.5" customHeight="1">
      <c r="D3287" s="7"/>
      <c r="E3287" s="14" t="s">
        <v>77</v>
      </c>
      <c r="F3287" s="46">
        <f>F3269+F3277+F3283</f>
        <v>164000</v>
      </c>
    </row>
    <row r="3288" ht="13.5" customHeight="1">
      <c r="D3288" s="7"/>
      <c r="E3288" s="14" t="s">
        <v>6</v>
      </c>
      <c r="F3288" s="46">
        <f>ROUND(F3287*F3258,0)</f>
        <v>24600</v>
      </c>
    </row>
    <row r="3289" ht="13.5" customHeight="1">
      <c r="D3289" s="7"/>
      <c r="E3289" s="14" t="s">
        <v>8</v>
      </c>
      <c r="F3289" s="46">
        <f>ROUND(F3287*F3259,0)</f>
        <v>32800</v>
      </c>
    </row>
    <row r="3290" ht="13.5" customHeight="1">
      <c r="D3290" s="7"/>
      <c r="E3290" s="14" t="s">
        <v>81</v>
      </c>
      <c r="F3290" s="46">
        <f>F3287+F3288+F3289</f>
        <v>221400</v>
      </c>
    </row>
    <row r="3291" ht="13.5" customHeight="1">
      <c r="D3291" s="7"/>
      <c r="E3291" s="14" t="s">
        <v>82</v>
      </c>
      <c r="F3291" s="46">
        <f>ROUND(F3290*F3260,0)</f>
        <v>42066</v>
      </c>
    </row>
    <row r="3292" ht="13.5" customHeight="1">
      <c r="D3292" s="14" t="s">
        <v>425</v>
      </c>
      <c r="E3292" s="18" t="s">
        <v>84</v>
      </c>
      <c r="F3292" s="53">
        <f>F3290+F3291</f>
        <v>263466</v>
      </c>
    </row>
    <row r="3293" ht="13.5" customHeight="1"/>
    <row r="3294" ht="13.5" customHeight="1"/>
    <row r="3295" ht="13.5" customHeight="1"/>
    <row r="3296" ht="13.5" customHeight="1"/>
    <row r="3297" ht="13.5" customHeight="1"/>
    <row r="3298" ht="13.5" customHeight="1"/>
    <row r="3299" ht="13.5" customHeight="1"/>
    <row r="3300" ht="13.5" customHeight="1"/>
    <row r="3301" ht="13.5" customHeight="1">
      <c r="A3301" s="3" t="s">
        <v>1</v>
      </c>
      <c r="B3301" s="5">
        <v>15.0</v>
      </c>
      <c r="C3301" s="3" t="s">
        <v>2</v>
      </c>
      <c r="D3301" s="7"/>
      <c r="E3301" s="3" t="s">
        <v>3</v>
      </c>
      <c r="F3301" s="9"/>
    </row>
    <row r="3302" ht="13.5" customHeight="1">
      <c r="A3302" s="3" t="s">
        <v>4</v>
      </c>
      <c r="B3302" s="5" t="s">
        <v>30</v>
      </c>
      <c r="D3302" s="7"/>
      <c r="E3302" s="3" t="s">
        <v>6</v>
      </c>
      <c r="F3302" s="10">
        <v>0.15</v>
      </c>
    </row>
    <row r="3303" ht="13.5" customHeight="1">
      <c r="D3303" s="7"/>
      <c r="E3303" s="3" t="s">
        <v>8</v>
      </c>
      <c r="F3303" s="10">
        <v>0.2</v>
      </c>
    </row>
    <row r="3304" ht="13.5" customHeight="1">
      <c r="B3304" s="5" t="s">
        <v>584</v>
      </c>
      <c r="D3304" s="7"/>
      <c r="E3304" s="3" t="s">
        <v>10</v>
      </c>
      <c r="F3304" s="10">
        <v>0.19</v>
      </c>
    </row>
    <row r="3305" ht="13.5" customHeight="1">
      <c r="A3305" s="14" t="s">
        <v>11</v>
      </c>
      <c r="D3305" s="7"/>
      <c r="E3305" s="9"/>
      <c r="F3305" s="9"/>
    </row>
    <row r="3306" ht="13.5" customHeight="1">
      <c r="A3306" s="18" t="s">
        <v>15</v>
      </c>
      <c r="B3306" s="18" t="s">
        <v>17</v>
      </c>
      <c r="C3306" s="18" t="s">
        <v>18</v>
      </c>
      <c r="D3306" s="18" t="s">
        <v>19</v>
      </c>
      <c r="E3306" s="18" t="s">
        <v>20</v>
      </c>
      <c r="F3306" s="18" t="s">
        <v>21</v>
      </c>
    </row>
    <row r="3307" ht="13.5" customHeight="1">
      <c r="A3307" s="21" t="s">
        <v>22</v>
      </c>
      <c r="B3307" s="21" t="s">
        <v>585</v>
      </c>
      <c r="C3307" s="21" t="s">
        <v>30</v>
      </c>
      <c r="D3307" s="21">
        <v>1.0</v>
      </c>
      <c r="E3307" s="279">
        <v>125000.0</v>
      </c>
      <c r="F3307" s="33">
        <f t="shared" ref="F3307:F3308" si="160">ROUND(IFERROR(D3307*E3307,0),0)</f>
        <v>125000</v>
      </c>
    </row>
    <row r="3308" ht="13.5" customHeight="1">
      <c r="A3308" s="21" t="s">
        <v>27</v>
      </c>
      <c r="B3308" s="21" t="s">
        <v>561</v>
      </c>
      <c r="C3308" s="21" t="s">
        <v>34</v>
      </c>
      <c r="D3308" s="21">
        <v>1.0</v>
      </c>
      <c r="E3308" s="279">
        <v>1500.0</v>
      </c>
      <c r="F3308" s="33">
        <f t="shared" si="160"/>
        <v>1500</v>
      </c>
    </row>
    <row r="3309" ht="13.5" customHeight="1">
      <c r="A3309" s="21"/>
      <c r="B3309" s="21"/>
      <c r="C3309" s="21"/>
      <c r="D3309" s="21"/>
      <c r="E3309" s="279"/>
      <c r="F3309" s="33"/>
    </row>
    <row r="3310" ht="13.5" customHeight="1">
      <c r="A3310" s="21"/>
      <c r="B3310" s="21"/>
      <c r="C3310" s="21"/>
      <c r="D3310" s="21"/>
      <c r="E3310" s="279"/>
      <c r="F3310" s="33"/>
    </row>
    <row r="3311" ht="13.5" customHeight="1">
      <c r="A3311" s="21"/>
      <c r="B3311" s="21"/>
      <c r="C3311" s="21"/>
      <c r="D3311" s="21"/>
      <c r="E3311" s="279"/>
      <c r="F3311" s="33"/>
    </row>
    <row r="3312" ht="13.5" customHeight="1">
      <c r="A3312" s="21"/>
      <c r="B3312" s="21"/>
      <c r="C3312" s="21"/>
      <c r="D3312" s="21"/>
      <c r="E3312" s="279"/>
      <c r="F3312" s="33"/>
    </row>
    <row r="3313" ht="13.5" customHeight="1">
      <c r="D3313" s="7"/>
      <c r="E3313" s="14" t="s">
        <v>37</v>
      </c>
      <c r="F3313" s="46">
        <f>SUM(F3307:F3312)</f>
        <v>126500</v>
      </c>
    </row>
    <row r="3314" ht="13.5" customHeight="1">
      <c r="D3314" s="7"/>
      <c r="E3314" s="9"/>
      <c r="F3314" s="9"/>
    </row>
    <row r="3315" ht="13.5" customHeight="1">
      <c r="A3315" s="14" t="s">
        <v>44</v>
      </c>
      <c r="D3315" s="7"/>
      <c r="E3315" s="9"/>
      <c r="F3315" s="9"/>
    </row>
    <row r="3316" ht="13.5" customHeight="1">
      <c r="A3316" s="18" t="s">
        <v>15</v>
      </c>
      <c r="B3316" s="18" t="s">
        <v>17</v>
      </c>
      <c r="C3316" s="18" t="s">
        <v>18</v>
      </c>
      <c r="D3316" s="18" t="s">
        <v>19</v>
      </c>
      <c r="E3316" s="18" t="s">
        <v>20</v>
      </c>
      <c r="F3316" s="18" t="s">
        <v>21</v>
      </c>
    </row>
    <row r="3317" ht="13.5" customHeight="1">
      <c r="A3317" s="21" t="s">
        <v>22</v>
      </c>
      <c r="B3317" s="21" t="s">
        <v>345</v>
      </c>
      <c r="C3317" s="21" t="s">
        <v>51</v>
      </c>
      <c r="D3317" s="187">
        <f>ROUND(1/B3301,2)</f>
        <v>0.07</v>
      </c>
      <c r="E3317" s="21">
        <v>65000.0</v>
      </c>
      <c r="F3317" s="33">
        <f t="shared" ref="F3317:F3318" si="161">ROUND(IFERROR(D3317*E3317,0),0)</f>
        <v>4550</v>
      </c>
    </row>
    <row r="3318" ht="13.5" customHeight="1">
      <c r="A3318" s="21" t="s">
        <v>27</v>
      </c>
      <c r="B3318" s="21" t="s">
        <v>54</v>
      </c>
      <c r="C3318" s="21" t="s">
        <v>51</v>
      </c>
      <c r="D3318" s="187">
        <f>ROUND(1/B3301,2)</f>
        <v>0.07</v>
      </c>
      <c r="E3318" s="21">
        <v>50000.0</v>
      </c>
      <c r="F3318" s="33">
        <f t="shared" si="161"/>
        <v>3500</v>
      </c>
    </row>
    <row r="3319" ht="13.5" customHeight="1">
      <c r="D3319" s="7"/>
      <c r="E3319" s="14" t="s">
        <v>37</v>
      </c>
      <c r="F3319" s="46">
        <f>SUM(F3317:F3318)</f>
        <v>8050</v>
      </c>
    </row>
    <row r="3320" ht="13.5" customHeight="1">
      <c r="D3320" s="7"/>
      <c r="E3320" s="14" t="s">
        <v>59</v>
      </c>
      <c r="F3320" s="46">
        <f>ROUND(F3319*0.5,0)</f>
        <v>4025</v>
      </c>
    </row>
    <row r="3321" ht="13.5" customHeight="1">
      <c r="D3321" s="7"/>
      <c r="E3321" s="14" t="s">
        <v>60</v>
      </c>
      <c r="F3321" s="46">
        <f>F3319+F3320</f>
        <v>12075</v>
      </c>
    </row>
    <row r="3322" ht="13.5" customHeight="1">
      <c r="D3322" s="7"/>
      <c r="E3322" s="9"/>
      <c r="F3322" s="9"/>
    </row>
    <row r="3323" ht="13.5" customHeight="1">
      <c r="A3323" s="14" t="s">
        <v>62</v>
      </c>
      <c r="D3323" s="7"/>
      <c r="E3323" s="9"/>
      <c r="F3323" s="9"/>
    </row>
    <row r="3324" ht="13.5" customHeight="1">
      <c r="A3324" s="18" t="s">
        <v>15</v>
      </c>
      <c r="B3324" s="18" t="s">
        <v>17</v>
      </c>
      <c r="C3324" s="18" t="s">
        <v>18</v>
      </c>
      <c r="D3324" s="18" t="s">
        <v>19</v>
      </c>
      <c r="E3324" s="18" t="s">
        <v>20</v>
      </c>
      <c r="F3324" s="18" t="s">
        <v>21</v>
      </c>
    </row>
    <row r="3325" ht="13.5" customHeight="1">
      <c r="A3325" s="21" t="s">
        <v>22</v>
      </c>
      <c r="B3325" s="21" t="s">
        <v>394</v>
      </c>
      <c r="C3325" s="21" t="s">
        <v>51</v>
      </c>
      <c r="D3325" s="144">
        <f>ROUND(1/B3301,2)</f>
        <v>0.07</v>
      </c>
      <c r="E3325" s="21">
        <v>45000.0</v>
      </c>
      <c r="F3325" s="33">
        <f>ROUND(IFERROR(D3325*E3325,0),0)</f>
        <v>3150</v>
      </c>
    </row>
    <row r="3326" ht="13.5" customHeight="1">
      <c r="A3326" s="21"/>
      <c r="B3326" s="21"/>
      <c r="C3326" s="21"/>
      <c r="D3326" s="144"/>
      <c r="E3326" s="21"/>
      <c r="F3326" s="33"/>
    </row>
    <row r="3327" ht="13.5" customHeight="1">
      <c r="D3327" s="7"/>
      <c r="E3327" s="14" t="s">
        <v>37</v>
      </c>
      <c r="F3327" s="46">
        <f>SUM(F3325:F3326)</f>
        <v>3150</v>
      </c>
    </row>
    <row r="3328" ht="13.5" customHeight="1">
      <c r="D3328" s="7"/>
      <c r="E3328" s="9"/>
      <c r="F3328" s="9"/>
    </row>
    <row r="3329" ht="13.5" customHeight="1">
      <c r="A3329" s="14" t="s">
        <v>74</v>
      </c>
      <c r="D3329" s="7"/>
      <c r="E3329" s="9"/>
      <c r="F3329" s="9"/>
    </row>
    <row r="3330" ht="13.5" customHeight="1">
      <c r="A3330" s="18"/>
      <c r="B3330" s="18" t="s">
        <v>17</v>
      </c>
      <c r="C3330" s="18" t="s">
        <v>18</v>
      </c>
      <c r="D3330" s="18" t="s">
        <v>19</v>
      </c>
      <c r="E3330" s="18" t="s">
        <v>20</v>
      </c>
      <c r="F3330" s="18" t="s">
        <v>21</v>
      </c>
    </row>
    <row r="3331" ht="13.5" customHeight="1">
      <c r="D3331" s="7"/>
      <c r="E3331" s="14" t="s">
        <v>77</v>
      </c>
      <c r="F3331" s="46">
        <f>F3313+F3321+F3327</f>
        <v>141725</v>
      </c>
    </row>
    <row r="3332" ht="13.5" customHeight="1">
      <c r="D3332" s="7"/>
      <c r="E3332" s="14" t="s">
        <v>6</v>
      </c>
      <c r="F3332" s="46">
        <f>ROUND(F3331*F3302,0)</f>
        <v>21259</v>
      </c>
    </row>
    <row r="3333" ht="13.5" customHeight="1">
      <c r="D3333" s="7"/>
      <c r="E3333" s="14" t="s">
        <v>8</v>
      </c>
      <c r="F3333" s="46">
        <f>ROUND(F3331*F3303,0)</f>
        <v>28345</v>
      </c>
    </row>
    <row r="3334" ht="13.5" customHeight="1">
      <c r="D3334" s="7"/>
      <c r="E3334" s="14" t="s">
        <v>81</v>
      </c>
      <c r="F3334" s="46">
        <f>F3331+F3332+F3333</f>
        <v>191329</v>
      </c>
    </row>
    <row r="3335" ht="13.5" customHeight="1">
      <c r="D3335" s="7"/>
      <c r="E3335" s="14" t="s">
        <v>82</v>
      </c>
      <c r="F3335" s="46">
        <f>ROUND(F3334*F3304,0)</f>
        <v>36353</v>
      </c>
    </row>
    <row r="3336" ht="13.5" customHeight="1">
      <c r="D3336" s="14" t="s">
        <v>425</v>
      </c>
      <c r="E3336" s="18" t="s">
        <v>84</v>
      </c>
      <c r="F3336" s="53">
        <f>F3334+F3335</f>
        <v>227682</v>
      </c>
    </row>
    <row r="3337" ht="13.5" customHeight="1"/>
    <row r="3338" ht="13.5" customHeight="1"/>
    <row r="3339" ht="13.5" customHeight="1"/>
    <row r="3340" ht="13.5" customHeight="1"/>
    <row r="3341" ht="13.5" customHeight="1"/>
    <row r="3342" ht="13.5" customHeight="1"/>
    <row r="3343" ht="13.5" customHeight="1"/>
    <row r="3344" ht="13.5" customHeight="1"/>
    <row r="3345" ht="13.5" customHeight="1">
      <c r="A3345" s="3" t="s">
        <v>1</v>
      </c>
      <c r="B3345" s="5">
        <v>25.0</v>
      </c>
      <c r="C3345" s="3" t="s">
        <v>2</v>
      </c>
      <c r="D3345" s="7"/>
      <c r="E3345" s="3" t="s">
        <v>3</v>
      </c>
      <c r="F3345" s="9"/>
    </row>
    <row r="3346" ht="13.5" customHeight="1">
      <c r="A3346" s="3" t="s">
        <v>4</v>
      </c>
      <c r="B3346" s="5" t="s">
        <v>30</v>
      </c>
      <c r="D3346" s="7"/>
      <c r="E3346" s="3" t="s">
        <v>6</v>
      </c>
      <c r="F3346" s="10">
        <v>0.15</v>
      </c>
    </row>
    <row r="3347" ht="13.5" customHeight="1">
      <c r="D3347" s="7"/>
      <c r="E3347" s="3" t="s">
        <v>8</v>
      </c>
      <c r="F3347" s="10">
        <v>0.2</v>
      </c>
    </row>
    <row r="3348" ht="13.5" customHeight="1">
      <c r="B3348" s="5" t="s">
        <v>586</v>
      </c>
      <c r="D3348" s="7"/>
      <c r="E3348" s="3" t="s">
        <v>10</v>
      </c>
      <c r="F3348" s="10">
        <v>0.19</v>
      </c>
    </row>
    <row r="3349" ht="13.5" customHeight="1">
      <c r="A3349" s="14" t="s">
        <v>11</v>
      </c>
      <c r="D3349" s="7"/>
      <c r="E3349" s="9"/>
      <c r="F3349" s="9"/>
    </row>
    <row r="3350" ht="13.5" customHeight="1">
      <c r="A3350" s="18" t="s">
        <v>15</v>
      </c>
      <c r="B3350" s="18" t="s">
        <v>17</v>
      </c>
      <c r="C3350" s="18" t="s">
        <v>18</v>
      </c>
      <c r="D3350" s="18" t="s">
        <v>19</v>
      </c>
      <c r="E3350" s="18" t="s">
        <v>20</v>
      </c>
      <c r="F3350" s="18" t="s">
        <v>21</v>
      </c>
    </row>
    <row r="3351" ht="13.5" customHeight="1">
      <c r="A3351" s="21" t="s">
        <v>22</v>
      </c>
      <c r="B3351" s="21" t="s">
        <v>587</v>
      </c>
      <c r="C3351" s="21" t="s">
        <v>30</v>
      </c>
      <c r="D3351" s="21">
        <v>1.0</v>
      </c>
      <c r="E3351" s="279">
        <v>69000.0</v>
      </c>
      <c r="F3351" s="33">
        <f t="shared" ref="F3351:F3352" si="162">ROUND(IFERROR(D3351*E3351,0),0)</f>
        <v>69000</v>
      </c>
    </row>
    <row r="3352" ht="13.5" customHeight="1">
      <c r="A3352" s="21" t="s">
        <v>27</v>
      </c>
      <c r="B3352" s="21" t="s">
        <v>561</v>
      </c>
      <c r="C3352" s="21" t="s">
        <v>34</v>
      </c>
      <c r="D3352" s="21">
        <v>1.0</v>
      </c>
      <c r="E3352" s="279">
        <v>1500.0</v>
      </c>
      <c r="F3352" s="33">
        <f t="shared" si="162"/>
        <v>1500</v>
      </c>
    </row>
    <row r="3353" ht="13.5" customHeight="1">
      <c r="A3353" s="21"/>
      <c r="B3353" s="21"/>
      <c r="C3353" s="21"/>
      <c r="D3353" s="21"/>
      <c r="E3353" s="279"/>
      <c r="F3353" s="33"/>
    </row>
    <row r="3354" ht="13.5" customHeight="1">
      <c r="A3354" s="21"/>
      <c r="B3354" s="21"/>
      <c r="C3354" s="21"/>
      <c r="D3354" s="21"/>
      <c r="E3354" s="279"/>
      <c r="F3354" s="33"/>
    </row>
    <row r="3355" ht="13.5" customHeight="1">
      <c r="A3355" s="21"/>
      <c r="B3355" s="21"/>
      <c r="C3355" s="21"/>
      <c r="D3355" s="21"/>
      <c r="E3355" s="279"/>
      <c r="F3355" s="33"/>
    </row>
    <row r="3356" ht="13.5" customHeight="1">
      <c r="A3356" s="21"/>
      <c r="B3356" s="21"/>
      <c r="C3356" s="21"/>
      <c r="D3356" s="21"/>
      <c r="E3356" s="279"/>
      <c r="F3356" s="33"/>
    </row>
    <row r="3357" ht="13.5" customHeight="1">
      <c r="D3357" s="7"/>
      <c r="E3357" s="14" t="s">
        <v>37</v>
      </c>
      <c r="F3357" s="46">
        <f>SUM(F3351:F3356)</f>
        <v>70500</v>
      </c>
    </row>
    <row r="3358" ht="13.5" customHeight="1">
      <c r="D3358" s="7"/>
      <c r="E3358" s="9"/>
      <c r="F3358" s="9"/>
    </row>
    <row r="3359" ht="13.5" customHeight="1">
      <c r="A3359" s="14" t="s">
        <v>44</v>
      </c>
      <c r="D3359" s="7"/>
      <c r="E3359" s="9"/>
      <c r="F3359" s="9"/>
    </row>
    <row r="3360" ht="13.5" customHeight="1">
      <c r="A3360" s="18" t="s">
        <v>15</v>
      </c>
      <c r="B3360" s="18" t="s">
        <v>17</v>
      </c>
      <c r="C3360" s="18" t="s">
        <v>18</v>
      </c>
      <c r="D3360" s="18" t="s">
        <v>19</v>
      </c>
      <c r="E3360" s="18" t="s">
        <v>20</v>
      </c>
      <c r="F3360" s="18" t="s">
        <v>21</v>
      </c>
    </row>
    <row r="3361" ht="13.5" customHeight="1">
      <c r="A3361" s="21" t="s">
        <v>22</v>
      </c>
      <c r="B3361" s="21" t="s">
        <v>345</v>
      </c>
      <c r="C3361" s="21" t="s">
        <v>51</v>
      </c>
      <c r="D3361" s="187">
        <f>ROUND(1/B3345,2)</f>
        <v>0.04</v>
      </c>
      <c r="E3361" s="21">
        <v>65000.0</v>
      </c>
      <c r="F3361" s="33">
        <f t="shared" ref="F3361:F3362" si="163">ROUND(IFERROR(D3361*E3361,0),0)</f>
        <v>2600</v>
      </c>
    </row>
    <row r="3362" ht="13.5" customHeight="1">
      <c r="A3362" s="21" t="s">
        <v>27</v>
      </c>
      <c r="B3362" s="21" t="s">
        <v>54</v>
      </c>
      <c r="C3362" s="21" t="s">
        <v>51</v>
      </c>
      <c r="D3362" s="187">
        <f>ROUND(1/B3345,2)</f>
        <v>0.04</v>
      </c>
      <c r="E3362" s="21">
        <v>50000.0</v>
      </c>
      <c r="F3362" s="33">
        <f t="shared" si="163"/>
        <v>2000</v>
      </c>
    </row>
    <row r="3363" ht="13.5" customHeight="1">
      <c r="D3363" s="7"/>
      <c r="E3363" s="14" t="s">
        <v>37</v>
      </c>
      <c r="F3363" s="46">
        <f>SUM(F3361:F3362)</f>
        <v>4600</v>
      </c>
    </row>
    <row r="3364" ht="13.5" customHeight="1">
      <c r="D3364" s="7"/>
      <c r="E3364" s="14" t="s">
        <v>59</v>
      </c>
      <c r="F3364" s="46">
        <f>ROUND(F3363*0.5,0)</f>
        <v>2300</v>
      </c>
    </row>
    <row r="3365" ht="13.5" customHeight="1">
      <c r="D3365" s="7"/>
      <c r="E3365" s="14" t="s">
        <v>60</v>
      </c>
      <c r="F3365" s="46">
        <f>F3363+F3364</f>
        <v>6900</v>
      </c>
    </row>
    <row r="3366" ht="13.5" customHeight="1">
      <c r="D3366" s="7"/>
      <c r="E3366" s="9"/>
      <c r="F3366" s="9"/>
    </row>
    <row r="3367" ht="13.5" customHeight="1">
      <c r="A3367" s="14" t="s">
        <v>62</v>
      </c>
      <c r="D3367" s="7"/>
      <c r="E3367" s="9"/>
      <c r="F3367" s="9"/>
    </row>
    <row r="3368" ht="13.5" customHeight="1">
      <c r="A3368" s="18" t="s">
        <v>15</v>
      </c>
      <c r="B3368" s="18" t="s">
        <v>17</v>
      </c>
      <c r="C3368" s="18" t="s">
        <v>18</v>
      </c>
      <c r="D3368" s="18" t="s">
        <v>19</v>
      </c>
      <c r="E3368" s="18" t="s">
        <v>20</v>
      </c>
      <c r="F3368" s="18" t="s">
        <v>21</v>
      </c>
    </row>
    <row r="3369" ht="13.5" customHeight="1">
      <c r="A3369" s="21" t="s">
        <v>22</v>
      </c>
      <c r="B3369" s="21" t="s">
        <v>394</v>
      </c>
      <c r="C3369" s="21" t="s">
        <v>51</v>
      </c>
      <c r="D3369" s="144">
        <f>ROUND(1/B3345,2)</f>
        <v>0.04</v>
      </c>
      <c r="E3369" s="21">
        <v>45000.0</v>
      </c>
      <c r="F3369" s="33">
        <f>ROUND(IFERROR(D3369*E3369,0),0)</f>
        <v>1800</v>
      </c>
    </row>
    <row r="3370" ht="13.5" customHeight="1">
      <c r="A3370" s="21"/>
      <c r="B3370" s="21"/>
      <c r="C3370" s="21"/>
      <c r="D3370" s="144"/>
      <c r="E3370" s="21"/>
      <c r="F3370" s="33"/>
    </row>
    <row r="3371" ht="13.5" customHeight="1">
      <c r="D3371" s="7"/>
      <c r="E3371" s="14" t="s">
        <v>37</v>
      </c>
      <c r="F3371" s="46">
        <f>SUM(F3369:F3370)</f>
        <v>1800</v>
      </c>
    </row>
    <row r="3372" ht="13.5" customHeight="1">
      <c r="D3372" s="7"/>
      <c r="E3372" s="9"/>
      <c r="F3372" s="9"/>
    </row>
    <row r="3373" ht="13.5" customHeight="1">
      <c r="A3373" s="14" t="s">
        <v>74</v>
      </c>
      <c r="D3373" s="7"/>
      <c r="E3373" s="9"/>
      <c r="F3373" s="9"/>
    </row>
    <row r="3374" ht="13.5" customHeight="1">
      <c r="A3374" s="18"/>
      <c r="B3374" s="18" t="s">
        <v>17</v>
      </c>
      <c r="C3374" s="18" t="s">
        <v>18</v>
      </c>
      <c r="D3374" s="18" t="s">
        <v>19</v>
      </c>
      <c r="E3374" s="18" t="s">
        <v>20</v>
      </c>
      <c r="F3374" s="18" t="s">
        <v>21</v>
      </c>
    </row>
    <row r="3375" ht="13.5" customHeight="1">
      <c r="D3375" s="7"/>
      <c r="E3375" s="14" t="s">
        <v>77</v>
      </c>
      <c r="F3375" s="46">
        <f>F3357+F3365+F3371</f>
        <v>79200</v>
      </c>
    </row>
    <row r="3376" ht="13.5" customHeight="1">
      <c r="D3376" s="7"/>
      <c r="E3376" s="14" t="s">
        <v>6</v>
      </c>
      <c r="F3376" s="46">
        <f>ROUND(F3375*F3346,0)</f>
        <v>11880</v>
      </c>
    </row>
    <row r="3377" ht="13.5" customHeight="1">
      <c r="D3377" s="7"/>
      <c r="E3377" s="14" t="s">
        <v>8</v>
      </c>
      <c r="F3377" s="46">
        <f>ROUND(F3375*F3347,0)</f>
        <v>15840</v>
      </c>
    </row>
    <row r="3378" ht="13.5" customHeight="1">
      <c r="D3378" s="7"/>
      <c r="E3378" s="14" t="s">
        <v>81</v>
      </c>
      <c r="F3378" s="46">
        <f>F3375+F3376+F3377</f>
        <v>106920</v>
      </c>
    </row>
    <row r="3379" ht="13.5" customHeight="1">
      <c r="D3379" s="7"/>
      <c r="E3379" s="14" t="s">
        <v>82</v>
      </c>
      <c r="F3379" s="46">
        <f>ROUND(F3378*F3348,0)</f>
        <v>20315</v>
      </c>
    </row>
    <row r="3380" ht="13.5" customHeight="1">
      <c r="D3380" s="14" t="s">
        <v>425</v>
      </c>
      <c r="E3380" s="18" t="s">
        <v>84</v>
      </c>
      <c r="F3380" s="53">
        <f>F3378+F3379</f>
        <v>127235</v>
      </c>
    </row>
    <row r="3381" ht="13.5" customHeight="1"/>
    <row r="3382" ht="13.5" customHeight="1"/>
    <row r="3383" ht="13.5" customHeight="1"/>
    <row r="3384" ht="13.5" customHeight="1"/>
    <row r="3385" ht="13.5" customHeight="1"/>
    <row r="3386" ht="13.5" customHeight="1"/>
    <row r="3387" ht="13.5" customHeight="1"/>
    <row r="3388" ht="13.5" customHeight="1"/>
    <row r="3389" ht="13.5" customHeight="1">
      <c r="A3389" s="3" t="s">
        <v>1</v>
      </c>
      <c r="B3389" s="5">
        <v>25.0</v>
      </c>
      <c r="C3389" s="3" t="s">
        <v>2</v>
      </c>
      <c r="D3389" s="7"/>
      <c r="E3389" s="3" t="s">
        <v>3</v>
      </c>
      <c r="F3389" s="9"/>
    </row>
    <row r="3390" ht="13.5" customHeight="1">
      <c r="A3390" s="3" t="s">
        <v>4</v>
      </c>
      <c r="B3390" s="5" t="s">
        <v>30</v>
      </c>
      <c r="D3390" s="7"/>
      <c r="E3390" s="3" t="s">
        <v>6</v>
      </c>
      <c r="F3390" s="10">
        <v>0.15</v>
      </c>
    </row>
    <row r="3391" ht="13.5" customHeight="1">
      <c r="D3391" s="7"/>
      <c r="E3391" s="3" t="s">
        <v>8</v>
      </c>
      <c r="F3391" s="10">
        <v>0.2</v>
      </c>
    </row>
    <row r="3392" ht="13.5" customHeight="1">
      <c r="B3392" s="5" t="s">
        <v>588</v>
      </c>
      <c r="D3392" s="7"/>
      <c r="E3392" s="3" t="s">
        <v>10</v>
      </c>
      <c r="F3392" s="10">
        <v>0.19</v>
      </c>
    </row>
    <row r="3393" ht="13.5" customHeight="1">
      <c r="A3393" s="14" t="s">
        <v>11</v>
      </c>
      <c r="D3393" s="7"/>
      <c r="E3393" s="9"/>
      <c r="F3393" s="9"/>
    </row>
    <row r="3394" ht="13.5" customHeight="1">
      <c r="A3394" s="18" t="s">
        <v>15</v>
      </c>
      <c r="B3394" s="18" t="s">
        <v>17</v>
      </c>
      <c r="C3394" s="18" t="s">
        <v>18</v>
      </c>
      <c r="D3394" s="18" t="s">
        <v>19</v>
      </c>
      <c r="E3394" s="18" t="s">
        <v>20</v>
      </c>
      <c r="F3394" s="18" t="s">
        <v>21</v>
      </c>
    </row>
    <row r="3395" ht="13.5" customHeight="1">
      <c r="A3395" s="21" t="s">
        <v>22</v>
      </c>
      <c r="B3395" s="21" t="s">
        <v>589</v>
      </c>
      <c r="C3395" s="21" t="s">
        <v>30</v>
      </c>
      <c r="D3395" s="21">
        <v>1.0</v>
      </c>
      <c r="E3395" s="279">
        <v>7500.0</v>
      </c>
      <c r="F3395" s="33">
        <f t="shared" ref="F3395:F3396" si="164">ROUND(IFERROR(D3395*E3395,0),0)</f>
        <v>7500</v>
      </c>
    </row>
    <row r="3396" ht="13.5" customHeight="1">
      <c r="A3396" s="21" t="s">
        <v>27</v>
      </c>
      <c r="B3396" s="21" t="s">
        <v>561</v>
      </c>
      <c r="C3396" s="21" t="s">
        <v>34</v>
      </c>
      <c r="D3396" s="21">
        <v>1.0</v>
      </c>
      <c r="E3396" s="279">
        <v>0.0</v>
      </c>
      <c r="F3396" s="33">
        <f t="shared" si="164"/>
        <v>0</v>
      </c>
    </row>
    <row r="3397" ht="13.5" customHeight="1">
      <c r="A3397" s="21"/>
      <c r="B3397" s="21"/>
      <c r="C3397" s="21"/>
      <c r="D3397" s="21"/>
      <c r="E3397" s="279"/>
      <c r="F3397" s="33"/>
    </row>
    <row r="3398" ht="13.5" customHeight="1">
      <c r="A3398" s="21"/>
      <c r="B3398" s="21"/>
      <c r="C3398" s="21"/>
      <c r="D3398" s="21"/>
      <c r="E3398" s="279"/>
      <c r="F3398" s="33"/>
    </row>
    <row r="3399" ht="13.5" customHeight="1">
      <c r="A3399" s="21"/>
      <c r="B3399" s="21"/>
      <c r="C3399" s="21"/>
      <c r="D3399" s="21"/>
      <c r="E3399" s="279"/>
      <c r="F3399" s="33"/>
    </row>
    <row r="3400" ht="13.5" customHeight="1">
      <c r="A3400" s="21"/>
      <c r="B3400" s="21"/>
      <c r="C3400" s="21"/>
      <c r="D3400" s="21"/>
      <c r="E3400" s="279"/>
      <c r="F3400" s="33"/>
    </row>
    <row r="3401" ht="13.5" customHeight="1">
      <c r="D3401" s="7"/>
      <c r="E3401" s="14" t="s">
        <v>37</v>
      </c>
      <c r="F3401" s="46">
        <f>SUM(F3395:F3400)</f>
        <v>7500</v>
      </c>
    </row>
    <row r="3402" ht="13.5" customHeight="1">
      <c r="D3402" s="7"/>
      <c r="E3402" s="9"/>
      <c r="F3402" s="9"/>
    </row>
    <row r="3403" ht="13.5" customHeight="1">
      <c r="A3403" s="14" t="s">
        <v>44</v>
      </c>
      <c r="D3403" s="7"/>
      <c r="E3403" s="9"/>
      <c r="F3403" s="9"/>
    </row>
    <row r="3404" ht="13.5" customHeight="1">
      <c r="A3404" s="18" t="s">
        <v>15</v>
      </c>
      <c r="B3404" s="18" t="s">
        <v>17</v>
      </c>
      <c r="C3404" s="18" t="s">
        <v>18</v>
      </c>
      <c r="D3404" s="18" t="s">
        <v>19</v>
      </c>
      <c r="E3404" s="18" t="s">
        <v>20</v>
      </c>
      <c r="F3404" s="18" t="s">
        <v>21</v>
      </c>
    </row>
    <row r="3405" ht="13.5" customHeight="1">
      <c r="A3405" s="21" t="s">
        <v>22</v>
      </c>
      <c r="B3405" s="21" t="s">
        <v>345</v>
      </c>
      <c r="C3405" s="21" t="s">
        <v>51</v>
      </c>
      <c r="D3405" s="187">
        <f>ROUND(1/B3389,2)</f>
        <v>0.04</v>
      </c>
      <c r="E3405" s="21">
        <v>65000.0</v>
      </c>
      <c r="F3405" s="33">
        <f t="shared" ref="F3405:F3406" si="165">ROUND(IFERROR(D3405*E3405,0),0)</f>
        <v>2600</v>
      </c>
    </row>
    <row r="3406" ht="13.5" customHeight="1">
      <c r="A3406" s="21" t="s">
        <v>27</v>
      </c>
      <c r="B3406" s="21" t="s">
        <v>54</v>
      </c>
      <c r="C3406" s="21" t="s">
        <v>51</v>
      </c>
      <c r="D3406" s="187">
        <f>ROUND(1/B3389,2)</f>
        <v>0.04</v>
      </c>
      <c r="E3406" s="21">
        <v>50000.0</v>
      </c>
      <c r="F3406" s="33">
        <f t="shared" si="165"/>
        <v>2000</v>
      </c>
    </row>
    <row r="3407" ht="13.5" customHeight="1">
      <c r="D3407" s="7"/>
      <c r="E3407" s="14" t="s">
        <v>37</v>
      </c>
      <c r="F3407" s="46">
        <f>SUM(F3405:F3406)</f>
        <v>4600</v>
      </c>
    </row>
    <row r="3408" ht="13.5" customHeight="1">
      <c r="D3408" s="7"/>
      <c r="E3408" s="14" t="s">
        <v>59</v>
      </c>
      <c r="F3408" s="46">
        <f>F3407*0.5</f>
        <v>2300</v>
      </c>
    </row>
    <row r="3409" ht="13.5" customHeight="1">
      <c r="D3409" s="7"/>
      <c r="E3409" s="14" t="s">
        <v>60</v>
      </c>
      <c r="F3409" s="46">
        <f>F3407+F3408</f>
        <v>6900</v>
      </c>
    </row>
    <row r="3410" ht="13.5" customHeight="1">
      <c r="D3410" s="7"/>
      <c r="E3410" s="9"/>
      <c r="F3410" s="9"/>
    </row>
    <row r="3411" ht="13.5" customHeight="1">
      <c r="A3411" s="14" t="s">
        <v>62</v>
      </c>
      <c r="D3411" s="7"/>
      <c r="E3411" s="9"/>
      <c r="F3411" s="9"/>
    </row>
    <row r="3412" ht="13.5" customHeight="1">
      <c r="A3412" s="18" t="s">
        <v>15</v>
      </c>
      <c r="B3412" s="18" t="s">
        <v>17</v>
      </c>
      <c r="C3412" s="18" t="s">
        <v>18</v>
      </c>
      <c r="D3412" s="18" t="s">
        <v>19</v>
      </c>
      <c r="E3412" s="18" t="s">
        <v>20</v>
      </c>
      <c r="F3412" s="18" t="s">
        <v>21</v>
      </c>
    </row>
    <row r="3413" ht="13.5" customHeight="1">
      <c r="A3413" s="21" t="s">
        <v>22</v>
      </c>
      <c r="B3413" s="21" t="s">
        <v>394</v>
      </c>
      <c r="C3413" s="21" t="s">
        <v>51</v>
      </c>
      <c r="D3413" s="144">
        <f>ROUND(1/B3389,2)</f>
        <v>0.04</v>
      </c>
      <c r="E3413" s="21">
        <v>45000.0</v>
      </c>
      <c r="F3413" s="33">
        <f>ROUND(IFERROR(D3413*E3413,0),0)</f>
        <v>1800</v>
      </c>
    </row>
    <row r="3414" ht="13.5" customHeight="1">
      <c r="A3414" s="21"/>
      <c r="B3414" s="21"/>
      <c r="C3414" s="21"/>
      <c r="D3414" s="144"/>
      <c r="E3414" s="21"/>
      <c r="F3414" s="33"/>
    </row>
    <row r="3415" ht="13.5" customHeight="1">
      <c r="D3415" s="7"/>
      <c r="E3415" s="14" t="s">
        <v>37</v>
      </c>
      <c r="F3415" s="46">
        <f>SUM(F3413:F3414)</f>
        <v>1800</v>
      </c>
    </row>
    <row r="3416" ht="13.5" customHeight="1">
      <c r="D3416" s="7"/>
      <c r="E3416" s="9"/>
      <c r="F3416" s="9"/>
    </row>
    <row r="3417" ht="13.5" customHeight="1">
      <c r="A3417" s="14" t="s">
        <v>74</v>
      </c>
      <c r="D3417" s="7"/>
      <c r="E3417" s="9"/>
      <c r="F3417" s="9"/>
    </row>
    <row r="3418" ht="13.5" customHeight="1">
      <c r="A3418" s="18"/>
      <c r="B3418" s="18" t="s">
        <v>17</v>
      </c>
      <c r="C3418" s="18" t="s">
        <v>18</v>
      </c>
      <c r="D3418" s="18" t="s">
        <v>19</v>
      </c>
      <c r="E3418" s="18" t="s">
        <v>20</v>
      </c>
      <c r="F3418" s="18" t="s">
        <v>21</v>
      </c>
    </row>
    <row r="3419" ht="13.5" customHeight="1">
      <c r="D3419" s="7"/>
      <c r="E3419" s="14" t="s">
        <v>77</v>
      </c>
      <c r="F3419" s="46">
        <f>F3401+F3409+F3415</f>
        <v>16200</v>
      </c>
    </row>
    <row r="3420" ht="13.5" customHeight="1">
      <c r="D3420" s="7"/>
      <c r="E3420" s="14" t="s">
        <v>6</v>
      </c>
      <c r="F3420" s="46">
        <f>ROUND(F3419*F3390,0)</f>
        <v>2430</v>
      </c>
    </row>
    <row r="3421" ht="13.5" customHeight="1">
      <c r="D3421" s="7"/>
      <c r="E3421" s="14" t="s">
        <v>8</v>
      </c>
      <c r="F3421" s="46">
        <f>ROUND(F3419*F3391,0)</f>
        <v>3240</v>
      </c>
    </row>
    <row r="3422" ht="13.5" customHeight="1">
      <c r="D3422" s="7"/>
      <c r="E3422" s="14" t="s">
        <v>81</v>
      </c>
      <c r="F3422" s="46">
        <f>F3419+F3420+F3421</f>
        <v>21870</v>
      </c>
    </row>
    <row r="3423" ht="13.5" customHeight="1">
      <c r="D3423" s="7"/>
      <c r="E3423" s="14" t="s">
        <v>82</v>
      </c>
      <c r="F3423" s="46">
        <f>ROUND(F3422*F3392,0)</f>
        <v>4155</v>
      </c>
    </row>
    <row r="3424" ht="13.5" customHeight="1">
      <c r="D3424" s="14" t="s">
        <v>425</v>
      </c>
      <c r="E3424" s="18" t="s">
        <v>84</v>
      </c>
      <c r="F3424" s="53">
        <f>F3422+F3423</f>
        <v>26025</v>
      </c>
    </row>
    <row r="3425" ht="13.5" customHeight="1"/>
    <row r="3426" ht="13.5" customHeight="1"/>
    <row r="3427" ht="13.5" customHeight="1"/>
    <row r="3428" ht="13.5" customHeight="1"/>
    <row r="3429" ht="13.5" customHeight="1"/>
    <row r="3430" ht="13.5" customHeight="1"/>
    <row r="3431" ht="13.5" customHeight="1"/>
    <row r="3432" ht="13.5" customHeight="1"/>
    <row r="3433" ht="13.5" customHeight="1">
      <c r="A3433" s="3" t="s">
        <v>1</v>
      </c>
      <c r="B3433" s="5">
        <v>5.0</v>
      </c>
      <c r="C3433" s="3" t="s">
        <v>2</v>
      </c>
      <c r="D3433" s="7"/>
      <c r="E3433" s="3" t="s">
        <v>3</v>
      </c>
      <c r="F3433" s="9"/>
    </row>
    <row r="3434" ht="13.5" customHeight="1">
      <c r="A3434" s="3" t="s">
        <v>4</v>
      </c>
      <c r="B3434" s="5" t="s">
        <v>30</v>
      </c>
      <c r="D3434" s="7"/>
      <c r="E3434" s="3" t="s">
        <v>6</v>
      </c>
      <c r="F3434" s="10">
        <v>0.15</v>
      </c>
    </row>
    <row r="3435" ht="13.5" customHeight="1">
      <c r="D3435" s="7"/>
      <c r="E3435" s="3" t="s">
        <v>8</v>
      </c>
      <c r="F3435" s="10">
        <v>0.2</v>
      </c>
    </row>
    <row r="3436" ht="13.5" customHeight="1">
      <c r="B3436" s="5" t="s">
        <v>590</v>
      </c>
      <c r="D3436" s="7"/>
      <c r="E3436" s="3" t="s">
        <v>10</v>
      </c>
      <c r="F3436" s="10">
        <v>0.19</v>
      </c>
    </row>
    <row r="3437" ht="13.5" customHeight="1">
      <c r="A3437" s="14" t="s">
        <v>11</v>
      </c>
      <c r="D3437" s="7"/>
      <c r="E3437" s="9"/>
      <c r="F3437" s="9"/>
    </row>
    <row r="3438" ht="13.5" customHeight="1">
      <c r="A3438" s="18" t="s">
        <v>15</v>
      </c>
      <c r="B3438" s="18" t="s">
        <v>17</v>
      </c>
      <c r="C3438" s="18" t="s">
        <v>18</v>
      </c>
      <c r="D3438" s="18" t="s">
        <v>19</v>
      </c>
      <c r="E3438" s="18" t="s">
        <v>20</v>
      </c>
      <c r="F3438" s="18" t="s">
        <v>21</v>
      </c>
    </row>
    <row r="3439" ht="13.5" customHeight="1">
      <c r="A3439" s="21" t="s">
        <v>22</v>
      </c>
      <c r="B3439" s="21" t="s">
        <v>591</v>
      </c>
      <c r="C3439" s="21" t="s">
        <v>30</v>
      </c>
      <c r="D3439" s="21">
        <v>1.0</v>
      </c>
      <c r="E3439" s="279">
        <v>139000.0</v>
      </c>
      <c r="F3439" s="33">
        <f t="shared" ref="F3439:F3440" si="166">ROUND(IFERROR(D3439*E3439,0),0)</f>
        <v>139000</v>
      </c>
    </row>
    <row r="3440" ht="13.5" customHeight="1">
      <c r="A3440" s="21" t="s">
        <v>27</v>
      </c>
      <c r="B3440" s="21" t="s">
        <v>561</v>
      </c>
      <c r="C3440" s="21" t="s">
        <v>34</v>
      </c>
      <c r="D3440" s="21">
        <v>1.0</v>
      </c>
      <c r="E3440" s="279">
        <v>1500.0</v>
      </c>
      <c r="F3440" s="33">
        <f t="shared" si="166"/>
        <v>1500</v>
      </c>
    </row>
    <row r="3441" ht="13.5" customHeight="1">
      <c r="A3441" s="21"/>
      <c r="B3441" s="21"/>
      <c r="C3441" s="21"/>
      <c r="D3441" s="21"/>
      <c r="E3441" s="279"/>
      <c r="F3441" s="33"/>
    </row>
    <row r="3442" ht="13.5" customHeight="1">
      <c r="A3442" s="21"/>
      <c r="B3442" s="21"/>
      <c r="C3442" s="21"/>
      <c r="D3442" s="21"/>
      <c r="E3442" s="279"/>
      <c r="F3442" s="33"/>
    </row>
    <row r="3443" ht="13.5" customHeight="1">
      <c r="A3443" s="21"/>
      <c r="B3443" s="21"/>
      <c r="C3443" s="21"/>
      <c r="D3443" s="21"/>
      <c r="E3443" s="279"/>
      <c r="F3443" s="33"/>
    </row>
    <row r="3444" ht="13.5" customHeight="1">
      <c r="A3444" s="21"/>
      <c r="B3444" s="21"/>
      <c r="C3444" s="21"/>
      <c r="D3444" s="21"/>
      <c r="E3444" s="279"/>
      <c r="F3444" s="33"/>
    </row>
    <row r="3445" ht="13.5" customHeight="1">
      <c r="D3445" s="7"/>
      <c r="E3445" s="14" t="s">
        <v>37</v>
      </c>
      <c r="F3445" s="46">
        <f>SUM(F3439:F3444)</f>
        <v>140500</v>
      </c>
    </row>
    <row r="3446" ht="13.5" customHeight="1">
      <c r="D3446" s="7"/>
      <c r="E3446" s="9"/>
      <c r="F3446" s="9"/>
    </row>
    <row r="3447" ht="13.5" customHeight="1">
      <c r="A3447" s="14" t="s">
        <v>44</v>
      </c>
      <c r="D3447" s="7"/>
      <c r="E3447" s="9"/>
      <c r="F3447" s="9"/>
    </row>
    <row r="3448" ht="13.5" customHeight="1">
      <c r="A3448" s="18" t="s">
        <v>15</v>
      </c>
      <c r="B3448" s="18" t="s">
        <v>17</v>
      </c>
      <c r="C3448" s="18" t="s">
        <v>18</v>
      </c>
      <c r="D3448" s="18" t="s">
        <v>19</v>
      </c>
      <c r="E3448" s="18" t="s">
        <v>20</v>
      </c>
      <c r="F3448" s="18" t="s">
        <v>21</v>
      </c>
    </row>
    <row r="3449" ht="13.5" customHeight="1">
      <c r="A3449" s="21" t="s">
        <v>22</v>
      </c>
      <c r="B3449" s="21" t="s">
        <v>345</v>
      </c>
      <c r="C3449" s="21" t="s">
        <v>51</v>
      </c>
      <c r="D3449" s="187">
        <f>ROUND(1/B3433,2)</f>
        <v>0.2</v>
      </c>
      <c r="E3449" s="21">
        <v>65000.0</v>
      </c>
      <c r="F3449" s="33">
        <f t="shared" ref="F3449:F3450" si="167">ROUND(IFERROR(D3449*E3449,0),0)</f>
        <v>13000</v>
      </c>
    </row>
    <row r="3450" ht="13.5" customHeight="1">
      <c r="A3450" s="21" t="s">
        <v>27</v>
      </c>
      <c r="B3450" s="21" t="s">
        <v>54</v>
      </c>
      <c r="C3450" s="21" t="s">
        <v>51</v>
      </c>
      <c r="D3450" s="187">
        <f>ROUND(1/B3433,2)</f>
        <v>0.2</v>
      </c>
      <c r="E3450" s="21">
        <v>50000.0</v>
      </c>
      <c r="F3450" s="33">
        <f t="shared" si="167"/>
        <v>10000</v>
      </c>
    </row>
    <row r="3451" ht="13.5" customHeight="1">
      <c r="D3451" s="7"/>
      <c r="E3451" s="14" t="s">
        <v>37</v>
      </c>
      <c r="F3451" s="46">
        <f>SUM(F3449:F3450)</f>
        <v>23000</v>
      </c>
    </row>
    <row r="3452" ht="13.5" customHeight="1">
      <c r="D3452" s="7"/>
      <c r="E3452" s="14" t="s">
        <v>59</v>
      </c>
      <c r="F3452" s="46">
        <f>ROUND(F3451*0.5,0)</f>
        <v>11500</v>
      </c>
    </row>
    <row r="3453" ht="13.5" customHeight="1">
      <c r="D3453" s="7"/>
      <c r="E3453" s="14" t="s">
        <v>60</v>
      </c>
      <c r="F3453" s="46">
        <f>F3451+F3452</f>
        <v>34500</v>
      </c>
    </row>
    <row r="3454" ht="13.5" customHeight="1">
      <c r="D3454" s="7"/>
      <c r="E3454" s="9"/>
      <c r="F3454" s="9"/>
    </row>
    <row r="3455" ht="13.5" customHeight="1">
      <c r="A3455" s="14" t="s">
        <v>62</v>
      </c>
      <c r="D3455" s="7"/>
      <c r="E3455" s="9"/>
      <c r="F3455" s="9"/>
    </row>
    <row r="3456" ht="13.5" customHeight="1">
      <c r="A3456" s="18" t="s">
        <v>15</v>
      </c>
      <c r="B3456" s="18" t="s">
        <v>17</v>
      </c>
      <c r="C3456" s="18" t="s">
        <v>18</v>
      </c>
      <c r="D3456" s="18" t="s">
        <v>19</v>
      </c>
      <c r="E3456" s="18" t="s">
        <v>20</v>
      </c>
      <c r="F3456" s="18" t="s">
        <v>21</v>
      </c>
    </row>
    <row r="3457" ht="13.5" customHeight="1">
      <c r="A3457" s="21" t="s">
        <v>22</v>
      </c>
      <c r="B3457" s="21" t="s">
        <v>394</v>
      </c>
      <c r="C3457" s="21" t="s">
        <v>51</v>
      </c>
      <c r="D3457" s="144">
        <f>ROUND(1/B3433,2)</f>
        <v>0.2</v>
      </c>
      <c r="E3457" s="21">
        <v>45000.0</v>
      </c>
      <c r="F3457" s="33">
        <f>ROUND(IFERROR(D3457*E3457,0),0)</f>
        <v>9000</v>
      </c>
    </row>
    <row r="3458" ht="13.5" customHeight="1">
      <c r="A3458" s="21"/>
      <c r="B3458" s="21"/>
      <c r="C3458" s="21"/>
      <c r="D3458" s="144"/>
      <c r="E3458" s="21"/>
      <c r="F3458" s="33"/>
    </row>
    <row r="3459" ht="13.5" customHeight="1">
      <c r="D3459" s="7"/>
      <c r="E3459" s="14" t="s">
        <v>37</v>
      </c>
      <c r="F3459" s="46">
        <f>SUM(F3457:F3458)</f>
        <v>9000</v>
      </c>
    </row>
    <row r="3460" ht="13.5" customHeight="1">
      <c r="D3460" s="7"/>
      <c r="E3460" s="9"/>
      <c r="F3460" s="9"/>
    </row>
    <row r="3461" ht="13.5" customHeight="1">
      <c r="A3461" s="14" t="s">
        <v>74</v>
      </c>
      <c r="D3461" s="7"/>
      <c r="E3461" s="9"/>
      <c r="F3461" s="9"/>
    </row>
    <row r="3462" ht="13.5" customHeight="1">
      <c r="A3462" s="18"/>
      <c r="B3462" s="18" t="s">
        <v>17</v>
      </c>
      <c r="C3462" s="18" t="s">
        <v>18</v>
      </c>
      <c r="D3462" s="18" t="s">
        <v>19</v>
      </c>
      <c r="E3462" s="18" t="s">
        <v>20</v>
      </c>
      <c r="F3462" s="18" t="s">
        <v>21</v>
      </c>
    </row>
    <row r="3463" ht="13.5" customHeight="1">
      <c r="D3463" s="7"/>
      <c r="E3463" s="14" t="s">
        <v>77</v>
      </c>
      <c r="F3463" s="46">
        <f>F3445+F3453+F3459</f>
        <v>184000</v>
      </c>
    </row>
    <row r="3464" ht="13.5" customHeight="1">
      <c r="D3464" s="7"/>
      <c r="E3464" s="14" t="s">
        <v>6</v>
      </c>
      <c r="F3464" s="46">
        <f>ROUND(F3463*F3434,0)</f>
        <v>27600</v>
      </c>
    </row>
    <row r="3465" ht="13.5" customHeight="1">
      <c r="D3465" s="7"/>
      <c r="E3465" s="14" t="s">
        <v>8</v>
      </c>
      <c r="F3465" s="46">
        <f>ROUND(F3463*F3435,0)</f>
        <v>36800</v>
      </c>
    </row>
    <row r="3466" ht="13.5" customHeight="1">
      <c r="D3466" s="7"/>
      <c r="E3466" s="14" t="s">
        <v>81</v>
      </c>
      <c r="F3466" s="46">
        <f>F3463+F3464+F3465</f>
        <v>248400</v>
      </c>
    </row>
    <row r="3467" ht="13.5" customHeight="1">
      <c r="D3467" s="7"/>
      <c r="E3467" s="14" t="s">
        <v>82</v>
      </c>
      <c r="F3467" s="46">
        <f>ROUND(F3466*F3436,0)</f>
        <v>47196</v>
      </c>
    </row>
    <row r="3468" ht="13.5" customHeight="1">
      <c r="D3468" s="14" t="s">
        <v>425</v>
      </c>
      <c r="E3468" s="18" t="s">
        <v>84</v>
      </c>
      <c r="F3468" s="53">
        <f>F3466+F3467</f>
        <v>295596</v>
      </c>
    </row>
    <row r="3469" ht="13.5" customHeight="1"/>
    <row r="3470" ht="13.5" customHeight="1"/>
    <row r="3471" ht="13.5" customHeight="1"/>
    <row r="3472" ht="13.5" customHeight="1"/>
    <row r="3473" ht="13.5" customHeight="1"/>
    <row r="3474" ht="13.5" customHeight="1"/>
    <row r="3475" ht="13.5" customHeight="1"/>
    <row r="3476" ht="13.5" customHeight="1"/>
    <row r="3477" ht="13.5" customHeight="1">
      <c r="A3477" s="3" t="s">
        <v>1</v>
      </c>
      <c r="B3477" s="5">
        <v>5.0</v>
      </c>
      <c r="C3477" s="3" t="s">
        <v>2</v>
      </c>
      <c r="D3477" s="7"/>
      <c r="E3477" s="3" t="s">
        <v>3</v>
      </c>
      <c r="F3477" s="9"/>
    </row>
    <row r="3478" ht="13.5" customHeight="1">
      <c r="A3478" s="3" t="s">
        <v>4</v>
      </c>
      <c r="B3478" s="5" t="s">
        <v>30</v>
      </c>
      <c r="D3478" s="7"/>
      <c r="E3478" s="3" t="s">
        <v>6</v>
      </c>
      <c r="F3478" s="10">
        <v>0.15</v>
      </c>
    </row>
    <row r="3479" ht="13.5" customHeight="1">
      <c r="D3479" s="7"/>
      <c r="E3479" s="3" t="s">
        <v>8</v>
      </c>
      <c r="F3479" s="10">
        <v>0.2</v>
      </c>
    </row>
    <row r="3480" ht="13.5" customHeight="1">
      <c r="B3480" s="5" t="s">
        <v>592</v>
      </c>
      <c r="D3480" s="7"/>
      <c r="E3480" s="3" t="s">
        <v>10</v>
      </c>
      <c r="F3480" s="10">
        <v>0.19</v>
      </c>
    </row>
    <row r="3481" ht="13.5" customHeight="1">
      <c r="A3481" s="14" t="s">
        <v>11</v>
      </c>
      <c r="D3481" s="7"/>
      <c r="E3481" s="9"/>
      <c r="F3481" s="9"/>
    </row>
    <row r="3482" ht="13.5" customHeight="1">
      <c r="A3482" s="18" t="s">
        <v>15</v>
      </c>
      <c r="B3482" s="18" t="s">
        <v>17</v>
      </c>
      <c r="C3482" s="18" t="s">
        <v>18</v>
      </c>
      <c r="D3482" s="18" t="s">
        <v>19</v>
      </c>
      <c r="E3482" s="18" t="s">
        <v>20</v>
      </c>
      <c r="F3482" s="18" t="s">
        <v>21</v>
      </c>
    </row>
    <row r="3483" ht="13.5" customHeight="1">
      <c r="A3483" s="21" t="s">
        <v>22</v>
      </c>
      <c r="B3483" s="21" t="s">
        <v>593</v>
      </c>
      <c r="C3483" s="21" t="s">
        <v>30</v>
      </c>
      <c r="D3483" s="21">
        <v>1.0</v>
      </c>
      <c r="E3483" s="279">
        <v>79000.0</v>
      </c>
      <c r="F3483" s="33">
        <f t="shared" ref="F3483:F3484" si="168">ROUND(IFERROR(D3483*E3483,0),0)</f>
        <v>79000</v>
      </c>
    </row>
    <row r="3484" ht="13.5" customHeight="1">
      <c r="A3484" s="21" t="s">
        <v>27</v>
      </c>
      <c r="B3484" s="21" t="s">
        <v>561</v>
      </c>
      <c r="C3484" s="21" t="s">
        <v>34</v>
      </c>
      <c r="D3484" s="21">
        <v>1.0</v>
      </c>
      <c r="E3484" s="279">
        <v>1500.0</v>
      </c>
      <c r="F3484" s="33">
        <f t="shared" si="168"/>
        <v>1500</v>
      </c>
    </row>
    <row r="3485" ht="13.5" customHeight="1">
      <c r="A3485" s="21"/>
      <c r="B3485" s="21"/>
      <c r="C3485" s="21"/>
      <c r="D3485" s="21"/>
      <c r="E3485" s="279"/>
      <c r="F3485" s="33"/>
    </row>
    <row r="3486" ht="13.5" customHeight="1">
      <c r="A3486" s="21"/>
      <c r="B3486" s="21"/>
      <c r="C3486" s="21"/>
      <c r="D3486" s="21"/>
      <c r="E3486" s="279"/>
      <c r="F3486" s="33"/>
    </row>
    <row r="3487" ht="13.5" customHeight="1">
      <c r="A3487" s="21"/>
      <c r="B3487" s="21"/>
      <c r="C3487" s="21"/>
      <c r="D3487" s="21"/>
      <c r="E3487" s="279"/>
      <c r="F3487" s="33"/>
    </row>
    <row r="3488" ht="13.5" customHeight="1">
      <c r="A3488" s="21"/>
      <c r="B3488" s="21"/>
      <c r="C3488" s="21"/>
      <c r="D3488" s="21"/>
      <c r="E3488" s="279"/>
      <c r="F3488" s="33"/>
    </row>
    <row r="3489" ht="13.5" customHeight="1">
      <c r="D3489" s="7"/>
      <c r="E3489" s="14" t="s">
        <v>37</v>
      </c>
      <c r="F3489" s="46">
        <f>SUM(F3483:F3488)</f>
        <v>80500</v>
      </c>
    </row>
    <row r="3490" ht="13.5" customHeight="1">
      <c r="D3490" s="7"/>
      <c r="E3490" s="9"/>
      <c r="F3490" s="9"/>
    </row>
    <row r="3491" ht="13.5" customHeight="1">
      <c r="A3491" s="14" t="s">
        <v>44</v>
      </c>
      <c r="D3491" s="7"/>
      <c r="E3491" s="9"/>
      <c r="F3491" s="9"/>
    </row>
    <row r="3492" ht="13.5" customHeight="1">
      <c r="A3492" s="18" t="s">
        <v>15</v>
      </c>
      <c r="B3492" s="18" t="s">
        <v>17</v>
      </c>
      <c r="C3492" s="18" t="s">
        <v>18</v>
      </c>
      <c r="D3492" s="18" t="s">
        <v>19</v>
      </c>
      <c r="E3492" s="18" t="s">
        <v>20</v>
      </c>
      <c r="F3492" s="18" t="s">
        <v>21</v>
      </c>
    </row>
    <row r="3493" ht="13.5" customHeight="1">
      <c r="A3493" s="21" t="s">
        <v>22</v>
      </c>
      <c r="B3493" s="21" t="s">
        <v>345</v>
      </c>
      <c r="C3493" s="21" t="s">
        <v>51</v>
      </c>
      <c r="D3493" s="187">
        <f>1/B3477</f>
        <v>0.2</v>
      </c>
      <c r="E3493" s="21">
        <v>65000.0</v>
      </c>
      <c r="F3493" s="33">
        <f t="shared" ref="F3493:F3494" si="169">ROUND(IFERROR(D3493*E3493,0),0)</f>
        <v>13000</v>
      </c>
    </row>
    <row r="3494" ht="13.5" customHeight="1">
      <c r="A3494" s="21" t="s">
        <v>27</v>
      </c>
      <c r="B3494" s="21" t="s">
        <v>54</v>
      </c>
      <c r="C3494" s="21" t="s">
        <v>51</v>
      </c>
      <c r="D3494" s="187">
        <f>1/B3477</f>
        <v>0.2</v>
      </c>
      <c r="E3494" s="21">
        <v>50000.0</v>
      </c>
      <c r="F3494" s="33">
        <f t="shared" si="169"/>
        <v>10000</v>
      </c>
    </row>
    <row r="3495" ht="13.5" customHeight="1">
      <c r="D3495" s="7"/>
      <c r="E3495" s="14" t="s">
        <v>37</v>
      </c>
      <c r="F3495" s="46">
        <f>SUM(F3493:F3494)</f>
        <v>23000</v>
      </c>
    </row>
    <row r="3496" ht="13.5" customHeight="1">
      <c r="D3496" s="7"/>
      <c r="E3496" s="14" t="s">
        <v>59</v>
      </c>
      <c r="F3496" s="46">
        <f>ROUND(F3495*0.5,0)</f>
        <v>11500</v>
      </c>
    </row>
    <row r="3497" ht="13.5" customHeight="1">
      <c r="D3497" s="7"/>
      <c r="E3497" s="14" t="s">
        <v>60</v>
      </c>
      <c r="F3497" s="46">
        <f>F3495+F3496</f>
        <v>34500</v>
      </c>
    </row>
    <row r="3498" ht="13.5" customHeight="1">
      <c r="D3498" s="7"/>
      <c r="E3498" s="9"/>
      <c r="F3498" s="9"/>
    </row>
    <row r="3499" ht="13.5" customHeight="1">
      <c r="A3499" s="14" t="s">
        <v>62</v>
      </c>
      <c r="D3499" s="7"/>
      <c r="E3499" s="9"/>
      <c r="F3499" s="9"/>
    </row>
    <row r="3500" ht="13.5" customHeight="1">
      <c r="A3500" s="18" t="s">
        <v>15</v>
      </c>
      <c r="B3500" s="18" t="s">
        <v>17</v>
      </c>
      <c r="C3500" s="18" t="s">
        <v>18</v>
      </c>
      <c r="D3500" s="18" t="s">
        <v>19</v>
      </c>
      <c r="E3500" s="18" t="s">
        <v>20</v>
      </c>
      <c r="F3500" s="18" t="s">
        <v>21</v>
      </c>
    </row>
    <row r="3501" ht="13.5" customHeight="1">
      <c r="A3501" s="21" t="s">
        <v>22</v>
      </c>
      <c r="B3501" s="21" t="s">
        <v>394</v>
      </c>
      <c r="C3501" s="21" t="s">
        <v>51</v>
      </c>
      <c r="D3501" s="144">
        <f>1/B3477</f>
        <v>0.2</v>
      </c>
      <c r="E3501" s="21">
        <v>45000.0</v>
      </c>
      <c r="F3501" s="33">
        <f>ROUND(IFERROR(D3501*E3501,0),0)</f>
        <v>9000</v>
      </c>
    </row>
    <row r="3502" ht="13.5" customHeight="1">
      <c r="A3502" s="21"/>
      <c r="B3502" s="21"/>
      <c r="C3502" s="21"/>
      <c r="D3502" s="144"/>
      <c r="E3502" s="21"/>
      <c r="F3502" s="33"/>
    </row>
    <row r="3503" ht="13.5" customHeight="1">
      <c r="D3503" s="7"/>
      <c r="E3503" s="14" t="s">
        <v>37</v>
      </c>
      <c r="F3503" s="46">
        <f>SUM(F3501:F3502)</f>
        <v>9000</v>
      </c>
    </row>
    <row r="3504" ht="13.5" customHeight="1">
      <c r="D3504" s="7"/>
      <c r="E3504" s="9"/>
      <c r="F3504" s="9"/>
    </row>
    <row r="3505" ht="13.5" customHeight="1">
      <c r="A3505" s="14" t="s">
        <v>74</v>
      </c>
      <c r="D3505" s="7"/>
      <c r="E3505" s="9"/>
      <c r="F3505" s="9"/>
    </row>
    <row r="3506" ht="13.5" customHeight="1">
      <c r="A3506" s="18"/>
      <c r="B3506" s="18" t="s">
        <v>17</v>
      </c>
      <c r="C3506" s="18" t="s">
        <v>18</v>
      </c>
      <c r="D3506" s="18" t="s">
        <v>19</v>
      </c>
      <c r="E3506" s="18" t="s">
        <v>20</v>
      </c>
      <c r="F3506" s="18" t="s">
        <v>21</v>
      </c>
    </row>
    <row r="3507" ht="13.5" customHeight="1">
      <c r="D3507" s="7"/>
      <c r="E3507" s="14" t="s">
        <v>77</v>
      </c>
      <c r="F3507" s="46">
        <f>F3489+F3497+F3503</f>
        <v>124000</v>
      </c>
    </row>
    <row r="3508" ht="13.5" customHeight="1">
      <c r="D3508" s="7"/>
      <c r="E3508" s="14" t="s">
        <v>6</v>
      </c>
      <c r="F3508" s="46">
        <f>ROUND(F3507*F3478,0)</f>
        <v>18600</v>
      </c>
    </row>
    <row r="3509" ht="13.5" customHeight="1">
      <c r="D3509" s="7"/>
      <c r="E3509" s="14" t="s">
        <v>8</v>
      </c>
      <c r="F3509" s="46">
        <f>ROUND(F3507*F3479,0)</f>
        <v>24800</v>
      </c>
    </row>
    <row r="3510" ht="13.5" customHeight="1">
      <c r="D3510" s="7"/>
      <c r="E3510" s="14" t="s">
        <v>81</v>
      </c>
      <c r="F3510" s="46">
        <f>F3507+F3508+F3509</f>
        <v>167400</v>
      </c>
    </row>
    <row r="3511" ht="13.5" customHeight="1">
      <c r="D3511" s="7"/>
      <c r="E3511" s="14" t="s">
        <v>82</v>
      </c>
      <c r="F3511" s="46">
        <f>ROUND(F3510*F3480,0)</f>
        <v>31806</v>
      </c>
    </row>
    <row r="3512" ht="13.5" customHeight="1">
      <c r="D3512" s="14" t="s">
        <v>425</v>
      </c>
      <c r="E3512" s="18" t="s">
        <v>84</v>
      </c>
      <c r="F3512" s="53">
        <f>F3510+F3511</f>
        <v>199206</v>
      </c>
    </row>
    <row r="3513" ht="13.5" customHeight="1"/>
    <row r="3514" ht="13.5" customHeight="1"/>
    <row r="3515" ht="13.5" customHeight="1"/>
    <row r="3516" ht="13.5" customHeight="1"/>
    <row r="3517" ht="13.5" customHeight="1"/>
    <row r="3518" ht="13.5" customHeight="1"/>
    <row r="3519" ht="13.5" customHeight="1"/>
    <row r="3520" ht="13.5" customHeight="1"/>
    <row r="3521" ht="13.5" customHeight="1">
      <c r="A3521" s="3" t="s">
        <v>1</v>
      </c>
      <c r="B3521" s="5">
        <v>6.0</v>
      </c>
      <c r="C3521" s="3" t="s">
        <v>2</v>
      </c>
      <c r="D3521" s="7"/>
      <c r="E3521" s="3" t="s">
        <v>3</v>
      </c>
      <c r="F3521" s="9"/>
    </row>
    <row r="3522" ht="13.5" customHeight="1">
      <c r="A3522" s="3" t="s">
        <v>4</v>
      </c>
      <c r="B3522" s="5" t="s">
        <v>30</v>
      </c>
      <c r="D3522" s="7"/>
      <c r="E3522" s="3" t="s">
        <v>6</v>
      </c>
      <c r="F3522" s="10">
        <v>0.15</v>
      </c>
    </row>
    <row r="3523" ht="13.5" customHeight="1">
      <c r="D3523" s="7"/>
      <c r="E3523" s="3" t="s">
        <v>8</v>
      </c>
      <c r="F3523" s="10">
        <v>0.2</v>
      </c>
    </row>
    <row r="3524" ht="13.5" customHeight="1">
      <c r="B3524" s="5" t="s">
        <v>594</v>
      </c>
      <c r="D3524" s="7"/>
      <c r="E3524" s="3" t="s">
        <v>10</v>
      </c>
      <c r="F3524" s="10">
        <v>0.19</v>
      </c>
    </row>
    <row r="3525" ht="13.5" customHeight="1">
      <c r="A3525" s="14" t="s">
        <v>11</v>
      </c>
      <c r="D3525" s="7"/>
      <c r="E3525" s="9"/>
      <c r="F3525" s="9"/>
    </row>
    <row r="3526" ht="13.5" customHeight="1">
      <c r="A3526" s="18" t="s">
        <v>15</v>
      </c>
      <c r="B3526" s="18" t="s">
        <v>17</v>
      </c>
      <c r="C3526" s="18" t="s">
        <v>18</v>
      </c>
      <c r="D3526" s="18" t="s">
        <v>19</v>
      </c>
      <c r="E3526" s="18" t="s">
        <v>20</v>
      </c>
      <c r="F3526" s="18" t="s">
        <v>21</v>
      </c>
    </row>
    <row r="3527" ht="13.5" customHeight="1">
      <c r="A3527" s="21" t="s">
        <v>22</v>
      </c>
      <c r="B3527" s="5" t="s">
        <v>595</v>
      </c>
      <c r="C3527" s="5" t="s">
        <v>30</v>
      </c>
      <c r="D3527" s="5">
        <v>1.0</v>
      </c>
      <c r="E3527" s="5">
        <v>259000.0</v>
      </c>
      <c r="F3527" s="33">
        <f t="shared" ref="F3527:F3528" si="170">ROUND(IFERROR(D3527*E3527,0),2)</f>
        <v>259000</v>
      </c>
    </row>
    <row r="3528" ht="13.5" customHeight="1">
      <c r="A3528" s="21" t="s">
        <v>27</v>
      </c>
      <c r="B3528" s="5" t="s">
        <v>561</v>
      </c>
      <c r="C3528" s="5" t="s">
        <v>34</v>
      </c>
      <c r="D3528" s="5">
        <v>1.0</v>
      </c>
      <c r="E3528" s="5">
        <v>1500.0</v>
      </c>
      <c r="F3528" s="33">
        <f t="shared" si="170"/>
        <v>1500</v>
      </c>
    </row>
    <row r="3529" ht="13.5" customHeight="1">
      <c r="A3529" s="21"/>
      <c r="B3529" s="21"/>
      <c r="C3529" s="21"/>
      <c r="D3529" s="21"/>
      <c r="E3529" s="279"/>
      <c r="F3529" s="33"/>
    </row>
    <row r="3530" ht="13.5" customHeight="1">
      <c r="A3530" s="21"/>
      <c r="B3530" s="21"/>
      <c r="C3530" s="21"/>
      <c r="D3530" s="21"/>
      <c r="E3530" s="279"/>
      <c r="F3530" s="33"/>
    </row>
    <row r="3531" ht="13.5" customHeight="1">
      <c r="A3531" s="21"/>
      <c r="B3531" s="21"/>
      <c r="C3531" s="21"/>
      <c r="D3531" s="21"/>
      <c r="E3531" s="279"/>
      <c r="F3531" s="33"/>
    </row>
    <row r="3532" ht="13.5" customHeight="1">
      <c r="A3532" s="21"/>
      <c r="B3532" s="21"/>
      <c r="C3532" s="21"/>
      <c r="D3532" s="21"/>
      <c r="E3532" s="279"/>
      <c r="F3532" s="33"/>
    </row>
    <row r="3533" ht="13.5" customHeight="1">
      <c r="D3533" s="7"/>
      <c r="E3533" s="14" t="s">
        <v>37</v>
      </c>
      <c r="F3533" s="46">
        <f>SUM(F3527:F3532)</f>
        <v>260500</v>
      </c>
    </row>
    <row r="3534" ht="13.5" customHeight="1">
      <c r="D3534" s="7"/>
      <c r="E3534" s="9"/>
      <c r="F3534" s="48"/>
    </row>
    <row r="3535" ht="13.5" customHeight="1">
      <c r="A3535" s="14" t="s">
        <v>44</v>
      </c>
      <c r="D3535" s="7"/>
      <c r="E3535" s="9"/>
      <c r="F3535" s="9"/>
    </row>
    <row r="3536" ht="13.5" customHeight="1">
      <c r="A3536" s="18" t="s">
        <v>15</v>
      </c>
      <c r="B3536" s="18" t="s">
        <v>17</v>
      </c>
      <c r="C3536" s="18" t="s">
        <v>18</v>
      </c>
      <c r="D3536" s="18" t="s">
        <v>19</v>
      </c>
      <c r="E3536" s="18" t="s">
        <v>20</v>
      </c>
      <c r="F3536" s="18" t="s">
        <v>21</v>
      </c>
    </row>
    <row r="3537" ht="13.5" customHeight="1">
      <c r="A3537" s="21" t="s">
        <v>22</v>
      </c>
      <c r="B3537" s="21" t="s">
        <v>345</v>
      </c>
      <c r="C3537" s="21" t="s">
        <v>51</v>
      </c>
      <c r="D3537" s="187">
        <f>ROUND(1/B3521,2)</f>
        <v>0.17</v>
      </c>
      <c r="E3537" s="21">
        <v>65000.0</v>
      </c>
      <c r="F3537" s="33">
        <f t="shared" ref="F3537:F3538" si="171">ROUND(IFERROR(D3537*E3537,0),2)</f>
        <v>11050</v>
      </c>
    </row>
    <row r="3538" ht="13.5" customHeight="1">
      <c r="A3538" s="21" t="s">
        <v>27</v>
      </c>
      <c r="B3538" s="21" t="s">
        <v>54</v>
      </c>
      <c r="C3538" s="21" t="s">
        <v>51</v>
      </c>
      <c r="D3538" s="187">
        <f>ROUND(1/B3521,2)</f>
        <v>0.17</v>
      </c>
      <c r="E3538" s="21">
        <v>50000.0</v>
      </c>
      <c r="F3538" s="33">
        <f t="shared" si="171"/>
        <v>8500</v>
      </c>
    </row>
    <row r="3539" ht="13.5" customHeight="1">
      <c r="D3539" s="7"/>
      <c r="E3539" s="14" t="s">
        <v>37</v>
      </c>
      <c r="F3539" s="46">
        <f>SUM(F3537:F3538)</f>
        <v>19550</v>
      </c>
    </row>
    <row r="3540" ht="13.5" customHeight="1">
      <c r="D3540" s="7"/>
      <c r="E3540" s="14" t="s">
        <v>59</v>
      </c>
      <c r="F3540" s="46">
        <f>ROUND(F3539*0.5,0)</f>
        <v>9775</v>
      </c>
    </row>
    <row r="3541" ht="13.5" customHeight="1">
      <c r="D3541" s="7"/>
      <c r="E3541" s="14" t="s">
        <v>60</v>
      </c>
      <c r="F3541" s="46">
        <f>F3539+F3540</f>
        <v>29325</v>
      </c>
    </row>
    <row r="3542" ht="13.5" customHeight="1">
      <c r="D3542" s="7"/>
      <c r="E3542" s="9"/>
      <c r="F3542" s="48"/>
    </row>
    <row r="3543" ht="13.5" customHeight="1">
      <c r="A3543" s="14" t="s">
        <v>62</v>
      </c>
      <c r="D3543" s="7"/>
      <c r="E3543" s="9"/>
      <c r="F3543" s="9"/>
    </row>
    <row r="3544" ht="13.5" customHeight="1">
      <c r="A3544" s="18" t="s">
        <v>15</v>
      </c>
      <c r="B3544" s="18" t="s">
        <v>17</v>
      </c>
      <c r="C3544" s="18" t="s">
        <v>18</v>
      </c>
      <c r="D3544" s="18" t="s">
        <v>19</v>
      </c>
      <c r="E3544" s="18" t="s">
        <v>20</v>
      </c>
      <c r="F3544" s="18" t="s">
        <v>21</v>
      </c>
    </row>
    <row r="3545" ht="13.5" customHeight="1">
      <c r="A3545" s="21" t="s">
        <v>22</v>
      </c>
      <c r="B3545" s="21" t="s">
        <v>394</v>
      </c>
      <c r="C3545" s="21" t="s">
        <v>51</v>
      </c>
      <c r="D3545" s="144">
        <f>ROUND(1/B3521,2)</f>
        <v>0.17</v>
      </c>
      <c r="E3545" s="21">
        <v>45000.0</v>
      </c>
      <c r="F3545" s="33">
        <f>ROUND(IFERROR(D3545*E3545,0),2)</f>
        <v>7650</v>
      </c>
    </row>
    <row r="3546" ht="13.5" customHeight="1">
      <c r="A3546" s="21"/>
      <c r="B3546" s="21"/>
      <c r="C3546" s="21"/>
      <c r="D3546" s="144"/>
      <c r="E3546" s="21"/>
      <c r="F3546" s="33"/>
    </row>
    <row r="3547" ht="13.5" customHeight="1">
      <c r="D3547" s="7"/>
      <c r="E3547" s="14" t="s">
        <v>37</v>
      </c>
      <c r="F3547" s="46">
        <f>SUM(F3545:F3546)</f>
        <v>7650</v>
      </c>
    </row>
    <row r="3548" ht="13.5" customHeight="1">
      <c r="D3548" s="7"/>
      <c r="E3548" s="9"/>
      <c r="F3548" s="9"/>
    </row>
    <row r="3549" ht="13.5" customHeight="1">
      <c r="A3549" s="14" t="s">
        <v>74</v>
      </c>
      <c r="D3549" s="7"/>
      <c r="E3549" s="9"/>
      <c r="F3549" s="9"/>
    </row>
    <row r="3550" ht="13.5" customHeight="1">
      <c r="A3550" s="18"/>
      <c r="B3550" s="18" t="s">
        <v>17</v>
      </c>
      <c r="C3550" s="18" t="s">
        <v>18</v>
      </c>
      <c r="D3550" s="18" t="s">
        <v>19</v>
      </c>
      <c r="E3550" s="18" t="s">
        <v>20</v>
      </c>
      <c r="F3550" s="18" t="s">
        <v>21</v>
      </c>
    </row>
    <row r="3551" ht="13.5" customHeight="1">
      <c r="D3551" s="7"/>
      <c r="E3551" s="14" t="s">
        <v>77</v>
      </c>
      <c r="F3551" s="46">
        <f>F3533+F3541+F3547</f>
        <v>297475</v>
      </c>
    </row>
    <row r="3552" ht="13.5" customHeight="1">
      <c r="D3552" s="7"/>
      <c r="E3552" s="14" t="s">
        <v>6</v>
      </c>
      <c r="F3552" s="46">
        <f>ROUND(F3551*F3522,0)</f>
        <v>44621</v>
      </c>
    </row>
    <row r="3553" ht="13.5" customHeight="1">
      <c r="D3553" s="7"/>
      <c r="E3553" s="14" t="s">
        <v>8</v>
      </c>
      <c r="F3553" s="46">
        <f>ROUND(F3551*F3523,0)</f>
        <v>59495</v>
      </c>
    </row>
    <row r="3554" ht="13.5" customHeight="1">
      <c r="D3554" s="7"/>
      <c r="E3554" s="14" t="s">
        <v>81</v>
      </c>
      <c r="F3554" s="46">
        <f>F3551+F3552+F3553</f>
        <v>401591</v>
      </c>
    </row>
    <row r="3555" ht="13.5" customHeight="1">
      <c r="D3555" s="7"/>
      <c r="E3555" s="14" t="s">
        <v>82</v>
      </c>
      <c r="F3555" s="46">
        <f>ROUND(F3554*F3524,0)</f>
        <v>76302</v>
      </c>
    </row>
    <row r="3556" ht="13.5" customHeight="1">
      <c r="D3556" s="14" t="s">
        <v>425</v>
      </c>
      <c r="E3556" s="18" t="s">
        <v>84</v>
      </c>
      <c r="F3556" s="53">
        <f>F3554+F3555</f>
        <v>477893</v>
      </c>
    </row>
    <row r="3557" ht="13.5" customHeight="1"/>
    <row r="3558" ht="13.5" customHeight="1"/>
    <row r="3559" ht="13.5" customHeight="1"/>
    <row r="3560" ht="13.5" customHeight="1"/>
    <row r="3561" ht="13.5" customHeight="1"/>
    <row r="3562" ht="13.5" customHeight="1"/>
    <row r="3563" ht="13.5" customHeight="1"/>
    <row r="3564" ht="13.5" customHeight="1"/>
    <row r="3565" ht="13.5" customHeight="1">
      <c r="A3565" s="3" t="s">
        <v>1</v>
      </c>
      <c r="B3565" s="5">
        <v>6.0</v>
      </c>
      <c r="C3565" s="3" t="s">
        <v>2</v>
      </c>
      <c r="D3565" s="7"/>
      <c r="E3565" s="3" t="s">
        <v>3</v>
      </c>
      <c r="F3565" s="9"/>
    </row>
    <row r="3566" ht="13.5" customHeight="1">
      <c r="A3566" s="3" t="s">
        <v>4</v>
      </c>
      <c r="B3566" s="5" t="s">
        <v>30</v>
      </c>
      <c r="D3566" s="7"/>
      <c r="E3566" s="3" t="s">
        <v>6</v>
      </c>
      <c r="F3566" s="10">
        <v>0.15</v>
      </c>
    </row>
    <row r="3567" ht="13.5" customHeight="1">
      <c r="D3567" s="7"/>
      <c r="E3567" s="3" t="s">
        <v>8</v>
      </c>
      <c r="F3567" s="10">
        <v>0.2</v>
      </c>
    </row>
    <row r="3568" ht="13.5" customHeight="1">
      <c r="B3568" s="5" t="s">
        <v>596</v>
      </c>
      <c r="D3568" s="7"/>
      <c r="E3568" s="3" t="s">
        <v>10</v>
      </c>
      <c r="F3568" s="10">
        <v>0.19</v>
      </c>
    </row>
    <row r="3569" ht="13.5" customHeight="1">
      <c r="A3569" s="14" t="s">
        <v>11</v>
      </c>
      <c r="D3569" s="7"/>
      <c r="E3569" s="9"/>
      <c r="F3569" s="9"/>
    </row>
    <row r="3570" ht="13.5" customHeight="1">
      <c r="A3570" s="18" t="s">
        <v>15</v>
      </c>
      <c r="B3570" s="18" t="s">
        <v>17</v>
      </c>
      <c r="C3570" s="18" t="s">
        <v>18</v>
      </c>
      <c r="D3570" s="18" t="s">
        <v>19</v>
      </c>
      <c r="E3570" s="18" t="s">
        <v>20</v>
      </c>
      <c r="F3570" s="18" t="s">
        <v>21</v>
      </c>
    </row>
    <row r="3571" ht="13.5" customHeight="1">
      <c r="A3571" s="21" t="s">
        <v>22</v>
      </c>
      <c r="B3571" s="21" t="s">
        <v>597</v>
      </c>
      <c r="C3571" s="21" t="s">
        <v>142</v>
      </c>
      <c r="D3571" s="21">
        <v>1.0</v>
      </c>
      <c r="E3571" s="21">
        <v>110000.0</v>
      </c>
      <c r="F3571" s="33">
        <f t="shared" ref="F3571:F3572" si="172">ROUND(IFERROR(D3571*E3571,0),0)</f>
        <v>110000</v>
      </c>
    </row>
    <row r="3572" ht="13.5" customHeight="1">
      <c r="A3572" s="21" t="s">
        <v>27</v>
      </c>
      <c r="B3572" s="21" t="s">
        <v>561</v>
      </c>
      <c r="C3572" s="21" t="s">
        <v>34</v>
      </c>
      <c r="D3572" s="21">
        <v>1.0</v>
      </c>
      <c r="E3572" s="21">
        <v>1500.0</v>
      </c>
      <c r="F3572" s="33">
        <f t="shared" si="172"/>
        <v>1500</v>
      </c>
    </row>
    <row r="3573" ht="13.5" customHeight="1">
      <c r="A3573" s="21"/>
      <c r="B3573" s="21"/>
      <c r="C3573" s="21"/>
      <c r="D3573" s="21"/>
      <c r="E3573" s="279"/>
      <c r="F3573" s="33"/>
    </row>
    <row r="3574" ht="13.5" customHeight="1">
      <c r="A3574" s="21"/>
      <c r="B3574" s="21"/>
      <c r="C3574" s="21"/>
      <c r="D3574" s="21"/>
      <c r="E3574" s="279"/>
      <c r="F3574" s="33"/>
    </row>
    <row r="3575" ht="13.5" customHeight="1">
      <c r="A3575" s="21"/>
      <c r="B3575" s="21"/>
      <c r="C3575" s="21"/>
      <c r="D3575" s="21"/>
      <c r="E3575" s="279"/>
      <c r="F3575" s="33"/>
    </row>
    <row r="3576" ht="13.5" customHeight="1">
      <c r="A3576" s="21"/>
      <c r="B3576" s="21"/>
      <c r="C3576" s="21"/>
      <c r="D3576" s="21"/>
      <c r="E3576" s="279"/>
      <c r="F3576" s="33"/>
    </row>
    <row r="3577" ht="13.5" customHeight="1">
      <c r="D3577" s="7"/>
      <c r="E3577" s="14" t="s">
        <v>37</v>
      </c>
      <c r="F3577" s="46">
        <f>SUM(F3571:F3576)</f>
        <v>111500</v>
      </c>
    </row>
    <row r="3578" ht="13.5" customHeight="1">
      <c r="D3578" s="7"/>
      <c r="E3578" s="9"/>
      <c r="F3578" s="48"/>
    </row>
    <row r="3579" ht="13.5" customHeight="1">
      <c r="A3579" s="14" t="s">
        <v>44</v>
      </c>
      <c r="D3579" s="7"/>
      <c r="E3579" s="9"/>
      <c r="F3579" s="9"/>
    </row>
    <row r="3580" ht="13.5" customHeight="1">
      <c r="A3580" s="18" t="s">
        <v>15</v>
      </c>
      <c r="B3580" s="18" t="s">
        <v>17</v>
      </c>
      <c r="C3580" s="18" t="s">
        <v>18</v>
      </c>
      <c r="D3580" s="18" t="s">
        <v>19</v>
      </c>
      <c r="E3580" s="18" t="s">
        <v>20</v>
      </c>
      <c r="F3580" s="18" t="s">
        <v>21</v>
      </c>
    </row>
    <row r="3581" ht="13.5" customHeight="1">
      <c r="A3581" s="21" t="s">
        <v>22</v>
      </c>
      <c r="B3581" s="21" t="s">
        <v>345</v>
      </c>
      <c r="C3581" s="21" t="s">
        <v>51</v>
      </c>
      <c r="D3581" s="187">
        <f>ROUND(1/B3565,2)</f>
        <v>0.17</v>
      </c>
      <c r="E3581" s="21">
        <v>65000.0</v>
      </c>
      <c r="F3581" s="33">
        <f t="shared" ref="F3581:F3582" si="173">ROUND(IFERROR(D3581*E3581,0),0)</f>
        <v>11050</v>
      </c>
    </row>
    <row r="3582" ht="13.5" customHeight="1">
      <c r="A3582" s="21" t="s">
        <v>27</v>
      </c>
      <c r="B3582" s="21" t="s">
        <v>54</v>
      </c>
      <c r="C3582" s="21" t="s">
        <v>51</v>
      </c>
      <c r="D3582" s="187">
        <f>ROUND(1/B3565,2)</f>
        <v>0.17</v>
      </c>
      <c r="E3582" s="21">
        <v>50000.0</v>
      </c>
      <c r="F3582" s="33">
        <f t="shared" si="173"/>
        <v>8500</v>
      </c>
    </row>
    <row r="3583" ht="13.5" customHeight="1">
      <c r="D3583" s="7"/>
      <c r="E3583" s="14" t="s">
        <v>37</v>
      </c>
      <c r="F3583" s="46">
        <f>SUM(F3581:F3582)</f>
        <v>19550</v>
      </c>
    </row>
    <row r="3584" ht="13.5" customHeight="1">
      <c r="D3584" s="7"/>
      <c r="E3584" s="14" t="s">
        <v>59</v>
      </c>
      <c r="F3584" s="46">
        <f>ROUND(F3583*0.5,0)</f>
        <v>9775</v>
      </c>
    </row>
    <row r="3585" ht="13.5" customHeight="1">
      <c r="D3585" s="7"/>
      <c r="E3585" s="14" t="s">
        <v>60</v>
      </c>
      <c r="F3585" s="46">
        <f>F3583+F3584</f>
        <v>29325</v>
      </c>
    </row>
    <row r="3586" ht="13.5" customHeight="1">
      <c r="D3586" s="7"/>
      <c r="E3586" s="9"/>
      <c r="F3586" s="9"/>
    </row>
    <row r="3587" ht="13.5" customHeight="1">
      <c r="A3587" s="14" t="s">
        <v>62</v>
      </c>
      <c r="D3587" s="7"/>
      <c r="E3587" s="9"/>
      <c r="F3587" s="9"/>
    </row>
    <row r="3588" ht="13.5" customHeight="1">
      <c r="A3588" s="18" t="s">
        <v>15</v>
      </c>
      <c r="B3588" s="18" t="s">
        <v>17</v>
      </c>
      <c r="C3588" s="18" t="s">
        <v>18</v>
      </c>
      <c r="D3588" s="18" t="s">
        <v>19</v>
      </c>
      <c r="E3588" s="18" t="s">
        <v>20</v>
      </c>
      <c r="F3588" s="18" t="s">
        <v>21</v>
      </c>
    </row>
    <row r="3589" ht="13.5" customHeight="1">
      <c r="A3589" s="21" t="s">
        <v>22</v>
      </c>
      <c r="B3589" s="21" t="s">
        <v>394</v>
      </c>
      <c r="C3589" s="21" t="s">
        <v>51</v>
      </c>
      <c r="D3589" s="144">
        <f>ROUND(1/B3565,2)</f>
        <v>0.17</v>
      </c>
      <c r="E3589" s="21">
        <v>45000.0</v>
      </c>
      <c r="F3589" s="33">
        <f>ROUND(IFERROR(D3589*E3589,0),0)</f>
        <v>7650</v>
      </c>
    </row>
    <row r="3590" ht="13.5" customHeight="1">
      <c r="A3590" s="21"/>
      <c r="B3590" s="21"/>
      <c r="C3590" s="21"/>
      <c r="D3590" s="144"/>
      <c r="E3590" s="21"/>
      <c r="F3590" s="33"/>
    </row>
    <row r="3591" ht="13.5" customHeight="1">
      <c r="D3591" s="7"/>
      <c r="E3591" s="14" t="s">
        <v>37</v>
      </c>
      <c r="F3591" s="46">
        <f>SUM(F3589:F3590)</f>
        <v>7650</v>
      </c>
    </row>
    <row r="3592" ht="13.5" customHeight="1">
      <c r="D3592" s="7"/>
      <c r="E3592" s="9"/>
      <c r="F3592" s="9"/>
    </row>
    <row r="3593" ht="13.5" customHeight="1">
      <c r="A3593" s="14" t="s">
        <v>74</v>
      </c>
      <c r="D3593" s="7"/>
      <c r="E3593" s="9"/>
      <c r="F3593" s="9"/>
    </row>
    <row r="3594" ht="13.5" customHeight="1">
      <c r="A3594" s="18"/>
      <c r="B3594" s="18" t="s">
        <v>17</v>
      </c>
      <c r="C3594" s="18" t="s">
        <v>18</v>
      </c>
      <c r="D3594" s="18" t="s">
        <v>19</v>
      </c>
      <c r="E3594" s="18" t="s">
        <v>20</v>
      </c>
      <c r="F3594" s="18" t="s">
        <v>21</v>
      </c>
    </row>
    <row r="3595" ht="13.5" customHeight="1">
      <c r="D3595" s="7"/>
      <c r="E3595" s="14" t="s">
        <v>77</v>
      </c>
      <c r="F3595" s="46">
        <f>F3577+F3585+F3591</f>
        <v>148475</v>
      </c>
    </row>
    <row r="3596" ht="13.5" customHeight="1">
      <c r="D3596" s="7"/>
      <c r="E3596" s="14" t="s">
        <v>6</v>
      </c>
      <c r="F3596" s="46">
        <f>ROUND(F3595*F3566,0)</f>
        <v>22271</v>
      </c>
    </row>
    <row r="3597" ht="13.5" customHeight="1">
      <c r="D3597" s="7"/>
      <c r="E3597" s="14" t="s">
        <v>8</v>
      </c>
      <c r="F3597" s="46">
        <f>ROUND(F3595*F3567,0)</f>
        <v>29695</v>
      </c>
    </row>
    <row r="3598" ht="13.5" customHeight="1">
      <c r="D3598" s="7"/>
      <c r="E3598" s="14" t="s">
        <v>81</v>
      </c>
      <c r="F3598" s="46">
        <f>F3595+F3596+F3597</f>
        <v>200441</v>
      </c>
    </row>
    <row r="3599" ht="13.5" customHeight="1">
      <c r="D3599" s="7"/>
      <c r="E3599" s="14" t="s">
        <v>82</v>
      </c>
      <c r="F3599" s="46">
        <f>ROUND(F3598*F3568,0)</f>
        <v>38084</v>
      </c>
    </row>
    <row r="3600" ht="13.5" customHeight="1">
      <c r="D3600" s="14" t="s">
        <v>425</v>
      </c>
      <c r="E3600" s="18" t="s">
        <v>84</v>
      </c>
      <c r="F3600" s="53">
        <f>F3598+F3599</f>
        <v>238525</v>
      </c>
    </row>
    <row r="3601" ht="13.5" customHeight="1"/>
    <row r="3602" ht="13.5" customHeight="1"/>
    <row r="3603" ht="13.5" customHeight="1"/>
    <row r="3604" ht="13.5" customHeight="1"/>
    <row r="3605" ht="13.5" customHeight="1"/>
    <row r="3606" ht="13.5" customHeight="1"/>
    <row r="3607" ht="13.5" customHeight="1"/>
    <row r="3608" ht="13.5" customHeight="1"/>
    <row r="3609" ht="13.5" customHeight="1">
      <c r="A3609" s="3" t="s">
        <v>1</v>
      </c>
      <c r="B3609" s="5">
        <v>6.0</v>
      </c>
      <c r="C3609" s="3" t="s">
        <v>2</v>
      </c>
      <c r="D3609" s="7"/>
      <c r="E3609" s="3" t="s">
        <v>3</v>
      </c>
      <c r="F3609" s="9"/>
    </row>
    <row r="3610" ht="13.5" customHeight="1">
      <c r="A3610" s="3" t="s">
        <v>4</v>
      </c>
      <c r="B3610" s="5" t="s">
        <v>30</v>
      </c>
      <c r="D3610" s="7"/>
      <c r="E3610" s="3" t="s">
        <v>6</v>
      </c>
      <c r="F3610" s="10">
        <v>0.15</v>
      </c>
    </row>
    <row r="3611" ht="13.5" customHeight="1">
      <c r="D3611" s="7"/>
      <c r="E3611" s="3" t="s">
        <v>8</v>
      </c>
      <c r="F3611" s="10">
        <v>0.2</v>
      </c>
    </row>
    <row r="3612" ht="13.5" customHeight="1">
      <c r="B3612" s="5" t="s">
        <v>598</v>
      </c>
      <c r="D3612" s="7"/>
      <c r="E3612" s="3" t="s">
        <v>10</v>
      </c>
      <c r="F3612" s="10">
        <v>0.19</v>
      </c>
    </row>
    <row r="3613" ht="13.5" customHeight="1">
      <c r="A3613" s="14" t="s">
        <v>11</v>
      </c>
      <c r="D3613" s="7"/>
      <c r="E3613" s="9"/>
      <c r="F3613" s="9"/>
    </row>
    <row r="3614" ht="13.5" customHeight="1">
      <c r="A3614" s="18" t="s">
        <v>15</v>
      </c>
      <c r="B3614" s="18" t="s">
        <v>17</v>
      </c>
      <c r="C3614" s="18" t="s">
        <v>18</v>
      </c>
      <c r="D3614" s="18" t="s">
        <v>19</v>
      </c>
      <c r="E3614" s="18" t="s">
        <v>20</v>
      </c>
      <c r="F3614" s="18" t="s">
        <v>21</v>
      </c>
    </row>
    <row r="3615" ht="13.5" customHeight="1">
      <c r="A3615" s="21" t="s">
        <v>22</v>
      </c>
      <c r="B3615" s="21" t="s">
        <v>599</v>
      </c>
      <c r="C3615" s="21" t="s">
        <v>30</v>
      </c>
      <c r="D3615" s="21">
        <v>1.0</v>
      </c>
      <c r="E3615" s="21">
        <v>129000.0</v>
      </c>
      <c r="F3615" s="33">
        <f t="shared" ref="F3615:F3616" si="174">ROUND(IFERROR(D3615*E3615,0),0)</f>
        <v>129000</v>
      </c>
    </row>
    <row r="3616" ht="13.5" customHeight="1">
      <c r="A3616" s="21" t="s">
        <v>27</v>
      </c>
      <c r="B3616" s="21" t="s">
        <v>561</v>
      </c>
      <c r="C3616" s="21" t="s">
        <v>34</v>
      </c>
      <c r="D3616" s="21">
        <v>1.0</v>
      </c>
      <c r="E3616" s="21">
        <v>1500.0</v>
      </c>
      <c r="F3616" s="33">
        <f t="shared" si="174"/>
        <v>1500</v>
      </c>
    </row>
    <row r="3617" ht="13.5" customHeight="1">
      <c r="A3617" s="21"/>
      <c r="B3617" s="21"/>
      <c r="C3617" s="21"/>
      <c r="D3617" s="21"/>
      <c r="E3617" s="279"/>
      <c r="F3617" s="33"/>
    </row>
    <row r="3618" ht="13.5" customHeight="1">
      <c r="A3618" s="21"/>
      <c r="B3618" s="21"/>
      <c r="C3618" s="21"/>
      <c r="D3618" s="21"/>
      <c r="E3618" s="279"/>
      <c r="F3618" s="33"/>
    </row>
    <row r="3619" ht="13.5" customHeight="1">
      <c r="A3619" s="21"/>
      <c r="B3619" s="21"/>
      <c r="C3619" s="21"/>
      <c r="D3619" s="21"/>
      <c r="E3619" s="279"/>
      <c r="F3619" s="33"/>
    </row>
    <row r="3620" ht="13.5" customHeight="1">
      <c r="A3620" s="21"/>
      <c r="B3620" s="21"/>
      <c r="C3620" s="21"/>
      <c r="D3620" s="21"/>
      <c r="E3620" s="279"/>
      <c r="F3620" s="33"/>
    </row>
    <row r="3621" ht="13.5" customHeight="1">
      <c r="D3621" s="7"/>
      <c r="E3621" s="14" t="s">
        <v>37</v>
      </c>
      <c r="F3621" s="46">
        <f>SUM(F3615:F3620)</f>
        <v>130500</v>
      </c>
    </row>
    <row r="3622" ht="13.5" customHeight="1">
      <c r="D3622" s="7"/>
      <c r="E3622" s="9"/>
      <c r="F3622" s="9"/>
    </row>
    <row r="3623" ht="13.5" customHeight="1">
      <c r="A3623" s="14" t="s">
        <v>44</v>
      </c>
      <c r="D3623" s="7"/>
      <c r="E3623" s="9"/>
      <c r="F3623" s="9"/>
    </row>
    <row r="3624" ht="13.5" customHeight="1">
      <c r="A3624" s="18" t="s">
        <v>15</v>
      </c>
      <c r="B3624" s="18" t="s">
        <v>17</v>
      </c>
      <c r="C3624" s="18" t="s">
        <v>18</v>
      </c>
      <c r="D3624" s="18" t="s">
        <v>19</v>
      </c>
      <c r="E3624" s="18" t="s">
        <v>20</v>
      </c>
      <c r="F3624" s="18" t="s">
        <v>21</v>
      </c>
    </row>
    <row r="3625" ht="13.5" customHeight="1">
      <c r="A3625" s="21" t="s">
        <v>22</v>
      </c>
      <c r="B3625" s="21" t="s">
        <v>345</v>
      </c>
      <c r="C3625" s="21" t="s">
        <v>51</v>
      </c>
      <c r="D3625" s="187">
        <f>ROUND(1/B3609,2)</f>
        <v>0.17</v>
      </c>
      <c r="E3625" s="21">
        <v>65000.0</v>
      </c>
      <c r="F3625" s="33">
        <f t="shared" ref="F3625:F3626" si="175">ROUND(IFERROR(D3625*E3625,0),0)</f>
        <v>11050</v>
      </c>
    </row>
    <row r="3626" ht="13.5" customHeight="1">
      <c r="A3626" s="21" t="s">
        <v>27</v>
      </c>
      <c r="B3626" s="21" t="s">
        <v>54</v>
      </c>
      <c r="C3626" s="21" t="s">
        <v>51</v>
      </c>
      <c r="D3626" s="187">
        <f>ROUND(1/B3609,2)</f>
        <v>0.17</v>
      </c>
      <c r="E3626" s="21">
        <v>50000.0</v>
      </c>
      <c r="F3626" s="33">
        <f t="shared" si="175"/>
        <v>8500</v>
      </c>
    </row>
    <row r="3627" ht="13.5" customHeight="1">
      <c r="D3627" s="7"/>
      <c r="E3627" s="14" t="s">
        <v>37</v>
      </c>
      <c r="F3627" s="46">
        <f>SUM(F3625:F3626)</f>
        <v>19550</v>
      </c>
    </row>
    <row r="3628" ht="13.5" customHeight="1">
      <c r="D3628" s="7"/>
      <c r="E3628" s="14" t="s">
        <v>59</v>
      </c>
      <c r="F3628" s="46">
        <f>ROUND(F3627*0.5,0)</f>
        <v>9775</v>
      </c>
    </row>
    <row r="3629" ht="13.5" customHeight="1">
      <c r="D3629" s="7"/>
      <c r="E3629" s="14" t="s">
        <v>60</v>
      </c>
      <c r="F3629" s="46">
        <f>F3627+F3628</f>
        <v>29325</v>
      </c>
    </row>
    <row r="3630" ht="13.5" customHeight="1">
      <c r="D3630" s="7"/>
      <c r="E3630" s="9"/>
      <c r="F3630" s="9"/>
    </row>
    <row r="3631" ht="13.5" customHeight="1">
      <c r="A3631" s="14" t="s">
        <v>62</v>
      </c>
      <c r="D3631" s="7"/>
      <c r="E3631" s="9"/>
      <c r="F3631" s="9"/>
    </row>
    <row r="3632" ht="13.5" customHeight="1">
      <c r="A3632" s="18" t="s">
        <v>15</v>
      </c>
      <c r="B3632" s="18" t="s">
        <v>17</v>
      </c>
      <c r="C3632" s="18" t="s">
        <v>18</v>
      </c>
      <c r="D3632" s="18" t="s">
        <v>19</v>
      </c>
      <c r="E3632" s="18" t="s">
        <v>20</v>
      </c>
      <c r="F3632" s="18" t="s">
        <v>21</v>
      </c>
    </row>
    <row r="3633" ht="13.5" customHeight="1">
      <c r="A3633" s="21" t="s">
        <v>22</v>
      </c>
      <c r="B3633" s="21" t="s">
        <v>394</v>
      </c>
      <c r="C3633" s="21" t="s">
        <v>51</v>
      </c>
      <c r="D3633" s="144">
        <f>ROUND(1/B3609,2)</f>
        <v>0.17</v>
      </c>
      <c r="E3633" s="21">
        <v>45000.0</v>
      </c>
      <c r="F3633" s="33">
        <f>ROUND(IFERROR(D3633*E3633,0),0)</f>
        <v>7650</v>
      </c>
    </row>
    <row r="3634" ht="13.5" customHeight="1">
      <c r="A3634" s="21"/>
      <c r="B3634" s="21"/>
      <c r="C3634" s="21"/>
      <c r="D3634" s="144"/>
      <c r="E3634" s="21"/>
      <c r="F3634" s="33"/>
    </row>
    <row r="3635" ht="13.5" customHeight="1">
      <c r="D3635" s="7"/>
      <c r="E3635" s="14" t="s">
        <v>37</v>
      </c>
      <c r="F3635" s="46">
        <f>SUM(F3633:F3634)</f>
        <v>7650</v>
      </c>
    </row>
    <row r="3636" ht="13.5" customHeight="1">
      <c r="D3636" s="7"/>
      <c r="E3636" s="9"/>
      <c r="F3636" s="9"/>
    </row>
    <row r="3637" ht="13.5" customHeight="1">
      <c r="A3637" s="14" t="s">
        <v>74</v>
      </c>
      <c r="D3637" s="7"/>
      <c r="E3637" s="9"/>
      <c r="F3637" s="9"/>
    </row>
    <row r="3638" ht="13.5" customHeight="1">
      <c r="A3638" s="18"/>
      <c r="B3638" s="18" t="s">
        <v>17</v>
      </c>
      <c r="C3638" s="18" t="s">
        <v>18</v>
      </c>
      <c r="D3638" s="18" t="s">
        <v>19</v>
      </c>
      <c r="E3638" s="18" t="s">
        <v>20</v>
      </c>
      <c r="F3638" s="18" t="s">
        <v>21</v>
      </c>
    </row>
    <row r="3639" ht="13.5" customHeight="1">
      <c r="D3639" s="7"/>
      <c r="E3639" s="14" t="s">
        <v>77</v>
      </c>
      <c r="F3639" s="46">
        <f>F3621+F3629+F3635</f>
        <v>167475</v>
      </c>
    </row>
    <row r="3640" ht="13.5" customHeight="1">
      <c r="D3640" s="7"/>
      <c r="E3640" s="14" t="s">
        <v>6</v>
      </c>
      <c r="F3640" s="46">
        <f>ROUND(F3639*F3610,0)</f>
        <v>25121</v>
      </c>
    </row>
    <row r="3641" ht="13.5" customHeight="1">
      <c r="D3641" s="7"/>
      <c r="E3641" s="14" t="s">
        <v>8</v>
      </c>
      <c r="F3641" s="46">
        <f>ROUND(F3639*F3611,0)</f>
        <v>33495</v>
      </c>
    </row>
    <row r="3642" ht="13.5" customHeight="1">
      <c r="D3642" s="7"/>
      <c r="E3642" s="14" t="s">
        <v>81</v>
      </c>
      <c r="F3642" s="46">
        <f>F3639+F3640+F3641</f>
        <v>226091</v>
      </c>
    </row>
    <row r="3643" ht="13.5" customHeight="1">
      <c r="D3643" s="7"/>
      <c r="E3643" s="14" t="s">
        <v>82</v>
      </c>
      <c r="F3643" s="46">
        <f>ROUND(F3642*F3612,0)</f>
        <v>42957</v>
      </c>
    </row>
    <row r="3644" ht="13.5" customHeight="1">
      <c r="D3644" s="14" t="s">
        <v>425</v>
      </c>
      <c r="E3644" s="18" t="s">
        <v>84</v>
      </c>
      <c r="F3644" s="53">
        <f>F3642+F3643</f>
        <v>269048</v>
      </c>
    </row>
    <row r="3645" ht="13.5" customHeight="1"/>
    <row r="3646" ht="13.5" customHeight="1"/>
    <row r="3647" ht="13.5" customHeight="1"/>
    <row r="3648" ht="13.5" customHeight="1"/>
    <row r="3649" ht="13.5" customHeight="1"/>
    <row r="3650" ht="13.5" customHeight="1"/>
    <row r="3651" ht="13.5" customHeight="1"/>
    <row r="3652" ht="13.5" customHeight="1"/>
    <row r="3653" ht="13.5" customHeight="1">
      <c r="A3653" s="3" t="s">
        <v>1</v>
      </c>
      <c r="B3653" s="5">
        <v>6.0</v>
      </c>
      <c r="C3653" s="3" t="s">
        <v>2</v>
      </c>
      <c r="D3653" s="7"/>
      <c r="E3653" s="3" t="s">
        <v>3</v>
      </c>
      <c r="F3653" s="9"/>
    </row>
    <row r="3654" ht="13.5" customHeight="1">
      <c r="A3654" s="3" t="s">
        <v>4</v>
      </c>
      <c r="B3654" s="5" t="s">
        <v>142</v>
      </c>
      <c r="D3654" s="7"/>
      <c r="E3654" s="3" t="s">
        <v>6</v>
      </c>
      <c r="F3654" s="10">
        <v>0.15</v>
      </c>
    </row>
    <row r="3655" ht="13.5" customHeight="1">
      <c r="D3655" s="7"/>
      <c r="E3655" s="3" t="s">
        <v>8</v>
      </c>
      <c r="F3655" s="10">
        <v>0.2</v>
      </c>
    </row>
    <row r="3656" ht="13.5" customHeight="1">
      <c r="B3656" s="5" t="s">
        <v>600</v>
      </c>
      <c r="D3656" s="7"/>
      <c r="E3656" s="3" t="s">
        <v>10</v>
      </c>
      <c r="F3656" s="10">
        <v>0.19</v>
      </c>
    </row>
    <row r="3657" ht="13.5" customHeight="1">
      <c r="A3657" s="14" t="s">
        <v>11</v>
      </c>
      <c r="D3657" s="7"/>
      <c r="E3657" s="9"/>
      <c r="F3657" s="9"/>
    </row>
    <row r="3658" ht="13.5" customHeight="1">
      <c r="A3658" s="18" t="s">
        <v>15</v>
      </c>
      <c r="B3658" s="18" t="s">
        <v>17</v>
      </c>
      <c r="C3658" s="18" t="s">
        <v>18</v>
      </c>
      <c r="D3658" s="18" t="s">
        <v>19</v>
      </c>
      <c r="E3658" s="18" t="s">
        <v>20</v>
      </c>
      <c r="F3658" s="18" t="s">
        <v>21</v>
      </c>
    </row>
    <row r="3659" ht="13.5" customHeight="1">
      <c r="A3659" s="21" t="s">
        <v>22</v>
      </c>
      <c r="B3659" s="21" t="s">
        <v>601</v>
      </c>
      <c r="C3659" s="21" t="s">
        <v>142</v>
      </c>
      <c r="D3659" s="21">
        <v>1.0</v>
      </c>
      <c r="E3659" s="21">
        <v>140000.0</v>
      </c>
      <c r="F3659" s="33">
        <f t="shared" ref="F3659:F3660" si="176">ROUND(IFERROR(D3659*E3659,0),0)</f>
        <v>140000</v>
      </c>
    </row>
    <row r="3660" ht="13.5" customHeight="1">
      <c r="A3660" s="21" t="s">
        <v>27</v>
      </c>
      <c r="B3660" s="21" t="s">
        <v>561</v>
      </c>
      <c r="C3660" s="21" t="s">
        <v>34</v>
      </c>
      <c r="D3660" s="21">
        <v>1.0</v>
      </c>
      <c r="E3660" s="21">
        <v>1500.0</v>
      </c>
      <c r="F3660" s="33">
        <f t="shared" si="176"/>
        <v>1500</v>
      </c>
    </row>
    <row r="3661" ht="13.5" customHeight="1">
      <c r="A3661" s="21"/>
      <c r="B3661" s="21"/>
      <c r="C3661" s="21"/>
      <c r="D3661" s="21"/>
      <c r="E3661" s="279"/>
      <c r="F3661" s="33"/>
    </row>
    <row r="3662" ht="13.5" customHeight="1">
      <c r="A3662" s="21"/>
      <c r="B3662" s="21"/>
      <c r="C3662" s="21"/>
      <c r="D3662" s="21"/>
      <c r="E3662" s="279"/>
      <c r="F3662" s="33"/>
    </row>
    <row r="3663" ht="13.5" customHeight="1">
      <c r="A3663" s="21"/>
      <c r="B3663" s="21"/>
      <c r="C3663" s="21"/>
      <c r="D3663" s="21"/>
      <c r="E3663" s="279"/>
      <c r="F3663" s="33"/>
    </row>
    <row r="3664" ht="13.5" customHeight="1">
      <c r="A3664" s="21"/>
      <c r="B3664" s="21"/>
      <c r="C3664" s="21"/>
      <c r="D3664" s="21"/>
      <c r="E3664" s="279"/>
      <c r="F3664" s="33"/>
    </row>
    <row r="3665" ht="13.5" customHeight="1">
      <c r="D3665" s="7"/>
      <c r="E3665" s="14" t="s">
        <v>37</v>
      </c>
      <c r="F3665" s="46">
        <f>SUM(F3659:F3664)</f>
        <v>141500</v>
      </c>
    </row>
    <row r="3666" ht="13.5" customHeight="1">
      <c r="D3666" s="7"/>
      <c r="E3666" s="9"/>
      <c r="F3666" s="9"/>
    </row>
    <row r="3667" ht="13.5" customHeight="1">
      <c r="A3667" s="14" t="s">
        <v>44</v>
      </c>
      <c r="D3667" s="7"/>
      <c r="E3667" s="9"/>
      <c r="F3667" s="9"/>
    </row>
    <row r="3668" ht="13.5" customHeight="1">
      <c r="A3668" s="18" t="s">
        <v>15</v>
      </c>
      <c r="B3668" s="18" t="s">
        <v>17</v>
      </c>
      <c r="C3668" s="18" t="s">
        <v>18</v>
      </c>
      <c r="D3668" s="18" t="s">
        <v>19</v>
      </c>
      <c r="E3668" s="18" t="s">
        <v>20</v>
      </c>
      <c r="F3668" s="18" t="s">
        <v>21</v>
      </c>
    </row>
    <row r="3669" ht="13.5" customHeight="1">
      <c r="A3669" s="21" t="s">
        <v>22</v>
      </c>
      <c r="B3669" s="21" t="s">
        <v>345</v>
      </c>
      <c r="C3669" s="21" t="s">
        <v>51</v>
      </c>
      <c r="D3669" s="187">
        <f>ROUND(1/B3653,2)</f>
        <v>0.17</v>
      </c>
      <c r="E3669" s="21">
        <v>65000.0</v>
      </c>
      <c r="F3669" s="33">
        <f t="shared" ref="F3669:F3670" si="177">ROUND(IFERROR(D3669*E3669,0),0)</f>
        <v>11050</v>
      </c>
    </row>
    <row r="3670" ht="13.5" customHeight="1">
      <c r="A3670" s="21" t="s">
        <v>27</v>
      </c>
      <c r="B3670" s="21" t="s">
        <v>54</v>
      </c>
      <c r="C3670" s="21" t="s">
        <v>51</v>
      </c>
      <c r="D3670" s="187">
        <f>ROUND(1/B3653,2)</f>
        <v>0.17</v>
      </c>
      <c r="E3670" s="21">
        <v>50000.0</v>
      </c>
      <c r="F3670" s="33">
        <f t="shared" si="177"/>
        <v>8500</v>
      </c>
    </row>
    <row r="3671" ht="13.5" customHeight="1">
      <c r="D3671" s="7"/>
      <c r="E3671" s="14" t="s">
        <v>37</v>
      </c>
      <c r="F3671" s="46">
        <f>SUM(F3669:F3670)</f>
        <v>19550</v>
      </c>
    </row>
    <row r="3672" ht="13.5" customHeight="1">
      <c r="D3672" s="7"/>
      <c r="E3672" s="14" t="s">
        <v>59</v>
      </c>
      <c r="F3672" s="46">
        <f>ROUND(F3671*0.5,0)</f>
        <v>9775</v>
      </c>
    </row>
    <row r="3673" ht="13.5" customHeight="1">
      <c r="D3673" s="7"/>
      <c r="E3673" s="14" t="s">
        <v>60</v>
      </c>
      <c r="F3673" s="46">
        <f>F3671+F3672</f>
        <v>29325</v>
      </c>
    </row>
    <row r="3674" ht="13.5" customHeight="1">
      <c r="D3674" s="7"/>
      <c r="E3674" s="9"/>
      <c r="F3674" s="9"/>
    </row>
    <row r="3675" ht="13.5" customHeight="1">
      <c r="A3675" s="14" t="s">
        <v>62</v>
      </c>
      <c r="D3675" s="7"/>
      <c r="E3675" s="9"/>
      <c r="F3675" s="9"/>
    </row>
    <row r="3676" ht="13.5" customHeight="1">
      <c r="A3676" s="18" t="s">
        <v>15</v>
      </c>
      <c r="B3676" s="18" t="s">
        <v>17</v>
      </c>
      <c r="C3676" s="18" t="s">
        <v>18</v>
      </c>
      <c r="D3676" s="18" t="s">
        <v>19</v>
      </c>
      <c r="E3676" s="18" t="s">
        <v>20</v>
      </c>
      <c r="F3676" s="18" t="s">
        <v>21</v>
      </c>
    </row>
    <row r="3677" ht="13.5" customHeight="1">
      <c r="A3677" s="21" t="s">
        <v>22</v>
      </c>
      <c r="B3677" s="21" t="s">
        <v>394</v>
      </c>
      <c r="C3677" s="21" t="s">
        <v>51</v>
      </c>
      <c r="D3677" s="144">
        <f>ROUND(1/B3653,2)</f>
        <v>0.17</v>
      </c>
      <c r="E3677" s="21">
        <v>45000.0</v>
      </c>
      <c r="F3677" s="33">
        <f>ROUND(IFERROR(D3677*E3677,0),0)</f>
        <v>7650</v>
      </c>
    </row>
    <row r="3678" ht="13.5" customHeight="1">
      <c r="A3678" s="21"/>
      <c r="B3678" s="21"/>
      <c r="C3678" s="21"/>
      <c r="D3678" s="144"/>
      <c r="E3678" s="21"/>
      <c r="F3678" s="33"/>
    </row>
    <row r="3679" ht="13.5" customHeight="1">
      <c r="D3679" s="7"/>
      <c r="E3679" s="14" t="s">
        <v>37</v>
      </c>
      <c r="F3679" s="46">
        <f>SUM(F3677:F3678)</f>
        <v>7650</v>
      </c>
    </row>
    <row r="3680" ht="13.5" customHeight="1">
      <c r="D3680" s="7"/>
      <c r="E3680" s="9"/>
      <c r="F3680" s="9"/>
    </row>
    <row r="3681" ht="13.5" customHeight="1">
      <c r="A3681" s="14" t="s">
        <v>74</v>
      </c>
      <c r="D3681" s="7"/>
      <c r="E3681" s="9"/>
      <c r="F3681" s="9"/>
    </row>
    <row r="3682" ht="13.5" customHeight="1">
      <c r="A3682" s="18"/>
      <c r="B3682" s="18" t="s">
        <v>17</v>
      </c>
      <c r="C3682" s="18" t="s">
        <v>18</v>
      </c>
      <c r="D3682" s="18" t="s">
        <v>19</v>
      </c>
      <c r="E3682" s="18" t="s">
        <v>20</v>
      </c>
      <c r="F3682" s="18" t="s">
        <v>21</v>
      </c>
    </row>
    <row r="3683" ht="13.5" customHeight="1">
      <c r="D3683" s="7"/>
      <c r="E3683" s="14" t="s">
        <v>77</v>
      </c>
      <c r="F3683" s="46">
        <f>F3665+F3673+F3679</f>
        <v>178475</v>
      </c>
    </row>
    <row r="3684" ht="13.5" customHeight="1">
      <c r="D3684" s="7"/>
      <c r="E3684" s="14" t="s">
        <v>6</v>
      </c>
      <c r="F3684" s="46">
        <f>ROUND(F3683*F3654,0)</f>
        <v>26771</v>
      </c>
    </row>
    <row r="3685" ht="13.5" customHeight="1">
      <c r="D3685" s="7"/>
      <c r="E3685" s="14" t="s">
        <v>8</v>
      </c>
      <c r="F3685" s="46">
        <f>ROUND(F3683*F3655,0)</f>
        <v>35695</v>
      </c>
    </row>
    <row r="3686" ht="13.5" customHeight="1">
      <c r="D3686" s="7"/>
      <c r="E3686" s="14" t="s">
        <v>81</v>
      </c>
      <c r="F3686" s="46">
        <f>F3683+F3684+F3685</f>
        <v>240941</v>
      </c>
    </row>
    <row r="3687" ht="13.5" customHeight="1">
      <c r="D3687" s="7"/>
      <c r="E3687" s="14" t="s">
        <v>82</v>
      </c>
      <c r="F3687" s="46">
        <f>ROUND(F3686*F3656,0)</f>
        <v>45779</v>
      </c>
    </row>
    <row r="3688" ht="13.5" customHeight="1">
      <c r="D3688" s="14" t="s">
        <v>254</v>
      </c>
      <c r="E3688" s="18" t="s">
        <v>84</v>
      </c>
      <c r="F3688" s="53">
        <f>F3686+F3687</f>
        <v>286720</v>
      </c>
    </row>
    <row r="3689" ht="13.5" customHeight="1"/>
    <row r="3690" ht="13.5" customHeight="1"/>
    <row r="3691" ht="13.5" customHeight="1"/>
    <row r="3692" ht="13.5" customHeight="1"/>
    <row r="3693" ht="13.5" customHeight="1"/>
    <row r="3694" ht="13.5" customHeight="1"/>
    <row r="3695" ht="13.5" customHeight="1"/>
    <row r="3696" ht="13.5" customHeight="1"/>
    <row r="3697" ht="13.5" customHeight="1">
      <c r="A3697" s="3" t="s">
        <v>1</v>
      </c>
      <c r="B3697" s="5">
        <v>6.0</v>
      </c>
      <c r="C3697" s="3" t="s">
        <v>2</v>
      </c>
      <c r="D3697" s="7"/>
      <c r="E3697" s="3" t="s">
        <v>3</v>
      </c>
      <c r="F3697" s="9"/>
    </row>
    <row r="3698" ht="13.5" customHeight="1">
      <c r="A3698" s="3" t="s">
        <v>4</v>
      </c>
      <c r="B3698" s="5" t="s">
        <v>30</v>
      </c>
      <c r="D3698" s="7"/>
      <c r="E3698" s="3" t="s">
        <v>6</v>
      </c>
      <c r="F3698" s="10">
        <v>0.15</v>
      </c>
    </row>
    <row r="3699" ht="13.5" customHeight="1">
      <c r="D3699" s="7"/>
      <c r="E3699" s="3" t="s">
        <v>8</v>
      </c>
      <c r="F3699" s="10">
        <v>0.2</v>
      </c>
    </row>
    <row r="3700" ht="13.5" customHeight="1">
      <c r="B3700" s="5" t="s">
        <v>602</v>
      </c>
      <c r="D3700" s="7"/>
      <c r="E3700" s="3" t="s">
        <v>10</v>
      </c>
      <c r="F3700" s="10">
        <v>0.19</v>
      </c>
    </row>
    <row r="3701" ht="13.5" customHeight="1">
      <c r="A3701" s="14" t="s">
        <v>11</v>
      </c>
      <c r="D3701" s="7"/>
      <c r="E3701" s="9"/>
      <c r="F3701" s="9"/>
    </row>
    <row r="3702" ht="13.5" customHeight="1">
      <c r="A3702" s="18" t="s">
        <v>15</v>
      </c>
      <c r="B3702" s="18" t="s">
        <v>17</v>
      </c>
      <c r="C3702" s="18" t="s">
        <v>18</v>
      </c>
      <c r="D3702" s="18" t="s">
        <v>19</v>
      </c>
      <c r="E3702" s="18" t="s">
        <v>20</v>
      </c>
      <c r="F3702" s="18" t="s">
        <v>21</v>
      </c>
    </row>
    <row r="3703" ht="13.5" customHeight="1">
      <c r="A3703" s="21" t="s">
        <v>22</v>
      </c>
      <c r="B3703" s="21" t="s">
        <v>603</v>
      </c>
      <c r="C3703" s="21" t="s">
        <v>30</v>
      </c>
      <c r="D3703" s="21">
        <v>1.0</v>
      </c>
      <c r="E3703" s="21">
        <v>59000.0</v>
      </c>
      <c r="F3703" s="33">
        <f t="shared" ref="F3703:F3704" si="178">ROUND(IFERROR(D3703*E3703,0),0)</f>
        <v>59000</v>
      </c>
    </row>
    <row r="3704" ht="13.5" customHeight="1">
      <c r="A3704" s="21" t="s">
        <v>27</v>
      </c>
      <c r="B3704" s="21" t="s">
        <v>561</v>
      </c>
      <c r="C3704" s="21" t="s">
        <v>34</v>
      </c>
      <c r="D3704" s="21">
        <v>1.0</v>
      </c>
      <c r="E3704" s="21">
        <v>1500.0</v>
      </c>
      <c r="F3704" s="33">
        <f t="shared" si="178"/>
        <v>1500</v>
      </c>
    </row>
    <row r="3705" ht="13.5" customHeight="1">
      <c r="A3705" s="21"/>
      <c r="B3705" s="21"/>
      <c r="C3705" s="21"/>
      <c r="D3705" s="21"/>
      <c r="E3705" s="279"/>
      <c r="F3705" s="33"/>
    </row>
    <row r="3706" ht="13.5" customHeight="1">
      <c r="A3706" s="21"/>
      <c r="B3706" s="21"/>
      <c r="C3706" s="21"/>
      <c r="D3706" s="21"/>
      <c r="E3706" s="279"/>
      <c r="F3706" s="33"/>
    </row>
    <row r="3707" ht="13.5" customHeight="1">
      <c r="A3707" s="21"/>
      <c r="B3707" s="21"/>
      <c r="C3707" s="21"/>
      <c r="D3707" s="21"/>
      <c r="E3707" s="279"/>
      <c r="F3707" s="33"/>
    </row>
    <row r="3708" ht="13.5" customHeight="1">
      <c r="A3708" s="21"/>
      <c r="B3708" s="21"/>
      <c r="C3708" s="21"/>
      <c r="D3708" s="21"/>
      <c r="E3708" s="279"/>
      <c r="F3708" s="33"/>
    </row>
    <row r="3709" ht="13.5" customHeight="1">
      <c r="D3709" s="7"/>
      <c r="E3709" s="14" t="s">
        <v>37</v>
      </c>
      <c r="F3709" s="46">
        <f>SUM(F3703:F3708)</f>
        <v>60500</v>
      </c>
    </row>
    <row r="3710" ht="13.5" customHeight="1">
      <c r="D3710" s="7"/>
      <c r="E3710" s="9"/>
      <c r="F3710" s="9"/>
    </row>
    <row r="3711" ht="13.5" customHeight="1">
      <c r="A3711" s="14" t="s">
        <v>44</v>
      </c>
      <c r="D3711" s="7"/>
      <c r="E3711" s="9"/>
      <c r="F3711" s="9"/>
    </row>
    <row r="3712" ht="13.5" customHeight="1">
      <c r="A3712" s="18" t="s">
        <v>15</v>
      </c>
      <c r="B3712" s="18" t="s">
        <v>17</v>
      </c>
      <c r="C3712" s="18" t="s">
        <v>18</v>
      </c>
      <c r="D3712" s="18" t="s">
        <v>19</v>
      </c>
      <c r="E3712" s="18" t="s">
        <v>20</v>
      </c>
      <c r="F3712" s="18" t="s">
        <v>21</v>
      </c>
    </row>
    <row r="3713" ht="13.5" customHeight="1">
      <c r="A3713" s="21" t="s">
        <v>22</v>
      </c>
      <c r="B3713" s="21" t="s">
        <v>345</v>
      </c>
      <c r="C3713" s="21" t="s">
        <v>51</v>
      </c>
      <c r="D3713" s="187">
        <f>ROUND(1/B3697,2)</f>
        <v>0.17</v>
      </c>
      <c r="E3713" s="21">
        <v>65000.0</v>
      </c>
      <c r="F3713" s="33">
        <f t="shared" ref="F3713:F3714" si="179">ROUND(IFERROR(D3713*E3713,0),0)</f>
        <v>11050</v>
      </c>
    </row>
    <row r="3714" ht="13.5" customHeight="1">
      <c r="A3714" s="21" t="s">
        <v>27</v>
      </c>
      <c r="B3714" s="21" t="s">
        <v>54</v>
      </c>
      <c r="C3714" s="21" t="s">
        <v>51</v>
      </c>
      <c r="D3714" s="187">
        <f>ROUND(1/B3697,2)</f>
        <v>0.17</v>
      </c>
      <c r="E3714" s="21">
        <v>50000.0</v>
      </c>
      <c r="F3714" s="33">
        <f t="shared" si="179"/>
        <v>8500</v>
      </c>
    </row>
    <row r="3715" ht="13.5" customHeight="1">
      <c r="D3715" s="7"/>
      <c r="E3715" s="14" t="s">
        <v>37</v>
      </c>
      <c r="F3715" s="46">
        <f>SUM(F3713:F3714)</f>
        <v>19550</v>
      </c>
    </row>
    <row r="3716" ht="13.5" customHeight="1">
      <c r="D3716" s="7"/>
      <c r="E3716" s="14" t="s">
        <v>59</v>
      </c>
      <c r="F3716" s="46">
        <f>ROUND(F3715*0.5,0)</f>
        <v>9775</v>
      </c>
    </row>
    <row r="3717" ht="13.5" customHeight="1">
      <c r="D3717" s="7"/>
      <c r="E3717" s="14" t="s">
        <v>60</v>
      </c>
      <c r="F3717" s="46">
        <f>F3715+F3716</f>
        <v>29325</v>
      </c>
    </row>
    <row r="3718" ht="13.5" customHeight="1">
      <c r="D3718" s="7"/>
      <c r="E3718" s="9"/>
      <c r="F3718" s="9"/>
    </row>
    <row r="3719" ht="13.5" customHeight="1">
      <c r="A3719" s="14" t="s">
        <v>62</v>
      </c>
      <c r="D3719" s="7"/>
      <c r="E3719" s="9"/>
      <c r="F3719" s="9"/>
    </row>
    <row r="3720" ht="13.5" customHeight="1">
      <c r="A3720" s="18" t="s">
        <v>15</v>
      </c>
      <c r="B3720" s="18" t="s">
        <v>17</v>
      </c>
      <c r="C3720" s="18" t="s">
        <v>18</v>
      </c>
      <c r="D3720" s="18" t="s">
        <v>19</v>
      </c>
      <c r="E3720" s="18" t="s">
        <v>20</v>
      </c>
      <c r="F3720" s="18" t="s">
        <v>21</v>
      </c>
    </row>
    <row r="3721" ht="13.5" customHeight="1">
      <c r="A3721" s="21" t="s">
        <v>22</v>
      </c>
      <c r="B3721" s="21" t="s">
        <v>394</v>
      </c>
      <c r="C3721" s="21" t="s">
        <v>51</v>
      </c>
      <c r="D3721" s="144">
        <f>ROUND(1/B3697,2)</f>
        <v>0.17</v>
      </c>
      <c r="E3721" s="21">
        <v>45000.0</v>
      </c>
      <c r="F3721" s="33">
        <f>ROUND(IFERROR(D3721*E3721,0),0)</f>
        <v>7650</v>
      </c>
    </row>
    <row r="3722" ht="13.5" customHeight="1">
      <c r="A3722" s="21"/>
      <c r="B3722" s="21"/>
      <c r="C3722" s="21"/>
      <c r="D3722" s="144"/>
      <c r="E3722" s="21"/>
      <c r="F3722" s="33"/>
    </row>
    <row r="3723" ht="13.5" customHeight="1">
      <c r="D3723" s="7"/>
      <c r="E3723" s="14" t="s">
        <v>37</v>
      </c>
      <c r="F3723" s="46">
        <f>SUM(F3721:F3722)</f>
        <v>7650</v>
      </c>
    </row>
    <row r="3724" ht="13.5" customHeight="1">
      <c r="D3724" s="7"/>
      <c r="E3724" s="9"/>
      <c r="F3724" s="48"/>
    </row>
    <row r="3725" ht="13.5" customHeight="1">
      <c r="A3725" s="14" t="s">
        <v>74</v>
      </c>
      <c r="D3725" s="7"/>
      <c r="E3725" s="9"/>
      <c r="F3725" s="9"/>
    </row>
    <row r="3726" ht="13.5" customHeight="1">
      <c r="A3726" s="18"/>
      <c r="B3726" s="18" t="s">
        <v>17</v>
      </c>
      <c r="C3726" s="18" t="s">
        <v>18</v>
      </c>
      <c r="D3726" s="18" t="s">
        <v>19</v>
      </c>
      <c r="E3726" s="18" t="s">
        <v>20</v>
      </c>
      <c r="F3726" s="18" t="s">
        <v>21</v>
      </c>
    </row>
    <row r="3727" ht="13.5" customHeight="1">
      <c r="D3727" s="7"/>
      <c r="E3727" s="14" t="s">
        <v>77</v>
      </c>
      <c r="F3727" s="46">
        <f>F3709+F3717+F3723</f>
        <v>97475</v>
      </c>
    </row>
    <row r="3728" ht="13.5" customHeight="1">
      <c r="D3728" s="7"/>
      <c r="E3728" s="14" t="s">
        <v>6</v>
      </c>
      <c r="F3728" s="46">
        <f>ROUND(F3727*F3698,0)</f>
        <v>14621</v>
      </c>
    </row>
    <row r="3729" ht="13.5" customHeight="1">
      <c r="D3729" s="7"/>
      <c r="E3729" s="14" t="s">
        <v>8</v>
      </c>
      <c r="F3729" s="46">
        <f>ROUND(F3727*F3699,0)</f>
        <v>19495</v>
      </c>
    </row>
    <row r="3730" ht="13.5" customHeight="1">
      <c r="D3730" s="7"/>
      <c r="E3730" s="14" t="s">
        <v>81</v>
      </c>
      <c r="F3730" s="46">
        <f>F3727+F3728+F3729</f>
        <v>131591</v>
      </c>
    </row>
    <row r="3731" ht="13.5" customHeight="1">
      <c r="D3731" s="7"/>
      <c r="E3731" s="14" t="s">
        <v>82</v>
      </c>
      <c r="F3731" s="46">
        <f>ROUND(F3730*F3700,0)</f>
        <v>25002</v>
      </c>
    </row>
    <row r="3732" ht="13.5" customHeight="1">
      <c r="D3732" s="14" t="s">
        <v>425</v>
      </c>
      <c r="E3732" s="18" t="s">
        <v>84</v>
      </c>
      <c r="F3732" s="53">
        <f>F3730+F3731</f>
        <v>156593</v>
      </c>
    </row>
    <row r="3733" ht="13.5" customHeight="1"/>
    <row r="3734" ht="13.5" customHeight="1"/>
    <row r="3735" ht="13.5" customHeight="1"/>
    <row r="3736" ht="13.5" customHeight="1"/>
    <row r="3737" ht="13.5" customHeight="1"/>
    <row r="3738" ht="13.5" customHeight="1"/>
    <row r="3739" ht="13.5" customHeight="1"/>
    <row r="3740" ht="13.5" customHeight="1"/>
    <row r="3741" ht="13.5" customHeight="1">
      <c r="A3741" s="3" t="s">
        <v>1</v>
      </c>
      <c r="B3741" s="5">
        <v>5.0</v>
      </c>
      <c r="C3741" s="3" t="s">
        <v>2</v>
      </c>
      <c r="D3741" s="7"/>
      <c r="E3741" s="3" t="s">
        <v>3</v>
      </c>
      <c r="F3741" s="9"/>
    </row>
    <row r="3742" ht="13.5" customHeight="1">
      <c r="A3742" s="3" t="s">
        <v>4</v>
      </c>
      <c r="B3742" s="5" t="s">
        <v>30</v>
      </c>
      <c r="D3742" s="7"/>
      <c r="E3742" s="3" t="s">
        <v>6</v>
      </c>
      <c r="F3742" s="10">
        <v>0.15</v>
      </c>
    </row>
    <row r="3743" ht="13.5" customHeight="1">
      <c r="D3743" s="7"/>
      <c r="E3743" s="3" t="s">
        <v>8</v>
      </c>
      <c r="F3743" s="10">
        <v>0.2</v>
      </c>
    </row>
    <row r="3744" ht="13.5" customHeight="1">
      <c r="B3744" s="5" t="s">
        <v>604</v>
      </c>
      <c r="D3744" s="7"/>
      <c r="E3744" s="3" t="s">
        <v>10</v>
      </c>
      <c r="F3744" s="10">
        <v>0.19</v>
      </c>
    </row>
    <row r="3745" ht="13.5" customHeight="1">
      <c r="A3745" s="14" t="s">
        <v>11</v>
      </c>
      <c r="D3745" s="7"/>
      <c r="E3745" s="9"/>
      <c r="F3745" s="9"/>
    </row>
    <row r="3746" ht="13.5" customHeight="1">
      <c r="A3746" s="18" t="s">
        <v>15</v>
      </c>
      <c r="B3746" s="18" t="s">
        <v>17</v>
      </c>
      <c r="C3746" s="18" t="s">
        <v>18</v>
      </c>
      <c r="D3746" s="18" t="s">
        <v>19</v>
      </c>
      <c r="E3746" s="18" t="s">
        <v>20</v>
      </c>
      <c r="F3746" s="18" t="s">
        <v>21</v>
      </c>
    </row>
    <row r="3747" ht="13.5" customHeight="1">
      <c r="A3747" s="21" t="s">
        <v>22</v>
      </c>
      <c r="B3747" s="21" t="s">
        <v>605</v>
      </c>
      <c r="C3747" s="21" t="s">
        <v>30</v>
      </c>
      <c r="D3747" s="21">
        <v>1.0</v>
      </c>
      <c r="E3747" s="21">
        <v>59000.0</v>
      </c>
      <c r="F3747" s="33">
        <f t="shared" ref="F3747:F3748" si="180">ROUND(IFERROR(D3747*E3747,0),0)</f>
        <v>59000</v>
      </c>
    </row>
    <row r="3748" ht="13.5" customHeight="1">
      <c r="A3748" s="21" t="s">
        <v>27</v>
      </c>
      <c r="B3748" s="21" t="s">
        <v>561</v>
      </c>
      <c r="C3748" s="21" t="s">
        <v>34</v>
      </c>
      <c r="D3748" s="21">
        <v>1.0</v>
      </c>
      <c r="E3748" s="21">
        <v>1500.0</v>
      </c>
      <c r="F3748" s="33">
        <f t="shared" si="180"/>
        <v>1500</v>
      </c>
    </row>
    <row r="3749" ht="13.5" customHeight="1">
      <c r="A3749" s="21"/>
      <c r="B3749" s="21"/>
      <c r="C3749" s="21"/>
      <c r="D3749" s="21"/>
      <c r="E3749" s="279"/>
      <c r="F3749" s="33"/>
    </row>
    <row r="3750" ht="13.5" customHeight="1">
      <c r="A3750" s="21"/>
      <c r="B3750" s="21"/>
      <c r="C3750" s="21"/>
      <c r="D3750" s="21"/>
      <c r="E3750" s="279"/>
      <c r="F3750" s="33"/>
    </row>
    <row r="3751" ht="13.5" customHeight="1">
      <c r="A3751" s="21"/>
      <c r="B3751" s="21"/>
      <c r="C3751" s="21"/>
      <c r="D3751" s="21"/>
      <c r="E3751" s="279"/>
      <c r="F3751" s="33"/>
    </row>
    <row r="3752" ht="13.5" customHeight="1">
      <c r="A3752" s="21"/>
      <c r="B3752" s="21"/>
      <c r="C3752" s="21"/>
      <c r="D3752" s="21"/>
      <c r="E3752" s="279"/>
      <c r="F3752" s="33"/>
    </row>
    <row r="3753" ht="13.5" customHeight="1">
      <c r="D3753" s="7"/>
      <c r="E3753" s="14" t="s">
        <v>37</v>
      </c>
      <c r="F3753" s="46">
        <f>SUM(F3747:F3752)</f>
        <v>60500</v>
      </c>
    </row>
    <row r="3754" ht="13.5" customHeight="1">
      <c r="D3754" s="7"/>
      <c r="E3754" s="9"/>
      <c r="F3754" s="9"/>
    </row>
    <row r="3755" ht="13.5" customHeight="1">
      <c r="A3755" s="14" t="s">
        <v>44</v>
      </c>
      <c r="D3755" s="7"/>
      <c r="E3755" s="9"/>
      <c r="F3755" s="9"/>
    </row>
    <row r="3756" ht="13.5" customHeight="1">
      <c r="A3756" s="18" t="s">
        <v>15</v>
      </c>
      <c r="B3756" s="18" t="s">
        <v>17</v>
      </c>
      <c r="C3756" s="18" t="s">
        <v>18</v>
      </c>
      <c r="D3756" s="18" t="s">
        <v>19</v>
      </c>
      <c r="E3756" s="18" t="s">
        <v>20</v>
      </c>
      <c r="F3756" s="18" t="s">
        <v>21</v>
      </c>
    </row>
    <row r="3757" ht="13.5" customHeight="1">
      <c r="A3757" s="21" t="s">
        <v>22</v>
      </c>
      <c r="B3757" s="21" t="s">
        <v>345</v>
      </c>
      <c r="C3757" s="21" t="s">
        <v>51</v>
      </c>
      <c r="D3757" s="187">
        <f>ROUND(1/B3741,2)</f>
        <v>0.2</v>
      </c>
      <c r="E3757" s="21">
        <v>65000.0</v>
      </c>
      <c r="F3757" s="33">
        <f t="shared" ref="F3757:F3758" si="181">ROUND(IFERROR(D3757*E3757,0),0)</f>
        <v>13000</v>
      </c>
    </row>
    <row r="3758" ht="13.5" customHeight="1">
      <c r="A3758" s="21" t="s">
        <v>27</v>
      </c>
      <c r="B3758" s="21" t="s">
        <v>54</v>
      </c>
      <c r="C3758" s="21" t="s">
        <v>51</v>
      </c>
      <c r="D3758" s="187">
        <f>ROUND(1/B3741,2)</f>
        <v>0.2</v>
      </c>
      <c r="E3758" s="21">
        <v>50000.0</v>
      </c>
      <c r="F3758" s="33">
        <f t="shared" si="181"/>
        <v>10000</v>
      </c>
    </row>
    <row r="3759" ht="13.5" customHeight="1">
      <c r="D3759" s="7"/>
      <c r="E3759" s="14" t="s">
        <v>37</v>
      </c>
      <c r="F3759" s="46">
        <f>SUM(F3757:F3758)</f>
        <v>23000</v>
      </c>
    </row>
    <row r="3760" ht="13.5" customHeight="1">
      <c r="D3760" s="7"/>
      <c r="E3760" s="14" t="s">
        <v>59</v>
      </c>
      <c r="F3760" s="46">
        <f>ROUND(F3759*0.5,0)</f>
        <v>11500</v>
      </c>
    </row>
    <row r="3761" ht="13.5" customHeight="1">
      <c r="D3761" s="7"/>
      <c r="E3761" s="14" t="s">
        <v>60</v>
      </c>
      <c r="F3761" s="46">
        <f>F3759+F3760</f>
        <v>34500</v>
      </c>
    </row>
    <row r="3762" ht="13.5" customHeight="1">
      <c r="D3762" s="7"/>
      <c r="E3762" s="9"/>
      <c r="F3762" s="48"/>
    </row>
    <row r="3763" ht="13.5" customHeight="1">
      <c r="A3763" s="14" t="s">
        <v>62</v>
      </c>
      <c r="D3763" s="7"/>
      <c r="E3763" s="9"/>
      <c r="F3763" s="9"/>
    </row>
    <row r="3764" ht="13.5" customHeight="1">
      <c r="A3764" s="18" t="s">
        <v>15</v>
      </c>
      <c r="B3764" s="18" t="s">
        <v>17</v>
      </c>
      <c r="C3764" s="18" t="s">
        <v>18</v>
      </c>
      <c r="D3764" s="18" t="s">
        <v>19</v>
      </c>
      <c r="E3764" s="18" t="s">
        <v>20</v>
      </c>
      <c r="F3764" s="18" t="s">
        <v>21</v>
      </c>
    </row>
    <row r="3765" ht="13.5" customHeight="1">
      <c r="A3765" s="21" t="s">
        <v>22</v>
      </c>
      <c r="B3765" s="21" t="s">
        <v>394</v>
      </c>
      <c r="C3765" s="21" t="s">
        <v>51</v>
      </c>
      <c r="D3765" s="144">
        <f>ROUND(1/B3741,2)</f>
        <v>0.2</v>
      </c>
      <c r="E3765" s="21">
        <v>45000.0</v>
      </c>
      <c r="F3765" s="33">
        <f>ROUND(IFERROR(D3765*E3765,0),0)</f>
        <v>9000</v>
      </c>
    </row>
    <row r="3766" ht="13.5" customHeight="1">
      <c r="A3766" s="21"/>
      <c r="B3766" s="21"/>
      <c r="C3766" s="21"/>
      <c r="D3766" s="144"/>
      <c r="E3766" s="21"/>
      <c r="F3766" s="33"/>
    </row>
    <row r="3767" ht="13.5" customHeight="1">
      <c r="D3767" s="7"/>
      <c r="E3767" s="14" t="s">
        <v>37</v>
      </c>
      <c r="F3767" s="46">
        <f>SUM(F3765:F3766)</f>
        <v>9000</v>
      </c>
    </row>
    <row r="3768" ht="13.5" customHeight="1">
      <c r="D3768" s="7"/>
      <c r="E3768" s="9"/>
      <c r="F3768" s="9"/>
    </row>
    <row r="3769" ht="13.5" customHeight="1">
      <c r="A3769" s="14" t="s">
        <v>74</v>
      </c>
      <c r="D3769" s="7"/>
      <c r="E3769" s="9"/>
      <c r="F3769" s="9"/>
    </row>
    <row r="3770" ht="13.5" customHeight="1">
      <c r="A3770" s="18"/>
      <c r="B3770" s="18" t="s">
        <v>17</v>
      </c>
      <c r="C3770" s="18" t="s">
        <v>18</v>
      </c>
      <c r="D3770" s="18" t="s">
        <v>19</v>
      </c>
      <c r="E3770" s="18" t="s">
        <v>20</v>
      </c>
      <c r="F3770" s="18" t="s">
        <v>21</v>
      </c>
    </row>
    <row r="3771" ht="13.5" customHeight="1">
      <c r="D3771" s="7"/>
      <c r="E3771" s="14" t="s">
        <v>77</v>
      </c>
      <c r="F3771" s="46">
        <f>F3753+F3761+F3767</f>
        <v>104000</v>
      </c>
    </row>
    <row r="3772" ht="13.5" customHeight="1">
      <c r="D3772" s="7"/>
      <c r="E3772" s="14" t="s">
        <v>6</v>
      </c>
      <c r="F3772" s="46">
        <f>ROUND(F3771*F3742,0)</f>
        <v>15600</v>
      </c>
    </row>
    <row r="3773" ht="13.5" customHeight="1">
      <c r="D3773" s="7"/>
      <c r="E3773" s="14" t="s">
        <v>8</v>
      </c>
      <c r="F3773" s="46">
        <f>ROUND(F3771*F3743,0)</f>
        <v>20800</v>
      </c>
    </row>
    <row r="3774" ht="13.5" customHeight="1">
      <c r="D3774" s="7"/>
      <c r="E3774" s="14" t="s">
        <v>81</v>
      </c>
      <c r="F3774" s="46">
        <f>F3771+F3772+F3773</f>
        <v>140400</v>
      </c>
    </row>
    <row r="3775" ht="13.5" customHeight="1">
      <c r="D3775" s="7"/>
      <c r="E3775" s="14" t="s">
        <v>82</v>
      </c>
      <c r="F3775" s="46">
        <f>ROUND(F3774*F3744,0)</f>
        <v>26676</v>
      </c>
    </row>
    <row r="3776" ht="13.5" customHeight="1">
      <c r="D3776" s="14" t="s">
        <v>425</v>
      </c>
      <c r="E3776" s="18" t="s">
        <v>84</v>
      </c>
      <c r="F3776" s="53">
        <f>F3774+F3775</f>
        <v>167076</v>
      </c>
    </row>
    <row r="3777" ht="13.5" customHeight="1"/>
    <row r="3778" ht="13.5" customHeight="1"/>
    <row r="3779" ht="13.5" customHeight="1"/>
    <row r="3780" ht="13.5" customHeight="1"/>
    <row r="3781" ht="13.5" customHeight="1"/>
    <row r="3782" ht="13.5" customHeight="1"/>
    <row r="3783" ht="13.5" customHeight="1"/>
    <row r="3784" ht="13.5" customHeight="1"/>
    <row r="3785" ht="13.5" customHeight="1">
      <c r="A3785" s="3" t="s">
        <v>1</v>
      </c>
      <c r="B3785" s="5">
        <v>12.5</v>
      </c>
      <c r="C3785" s="3" t="s">
        <v>2</v>
      </c>
      <c r="D3785" s="7"/>
      <c r="E3785" s="3" t="s">
        <v>3</v>
      </c>
      <c r="F3785" s="9"/>
    </row>
    <row r="3786" ht="13.5" customHeight="1">
      <c r="A3786" s="3" t="s">
        <v>4</v>
      </c>
      <c r="B3786" s="5" t="s">
        <v>125</v>
      </c>
      <c r="D3786" s="7"/>
      <c r="E3786" s="3" t="s">
        <v>6</v>
      </c>
      <c r="F3786" s="10">
        <v>0.15</v>
      </c>
    </row>
    <row r="3787" ht="13.5" customHeight="1">
      <c r="D3787" s="7"/>
      <c r="E3787" s="3" t="s">
        <v>8</v>
      </c>
      <c r="F3787" s="10">
        <v>0.2</v>
      </c>
    </row>
    <row r="3788" ht="13.5" customHeight="1">
      <c r="B3788" s="5" t="s">
        <v>606</v>
      </c>
      <c r="D3788" s="7"/>
      <c r="E3788" s="3" t="s">
        <v>10</v>
      </c>
      <c r="F3788" s="10">
        <v>0.19</v>
      </c>
    </row>
    <row r="3789" ht="13.5" customHeight="1">
      <c r="A3789" s="14" t="s">
        <v>11</v>
      </c>
      <c r="D3789" s="7"/>
      <c r="E3789" s="9"/>
      <c r="F3789" s="9"/>
    </row>
    <row r="3790" ht="13.5" customHeight="1">
      <c r="A3790" s="18" t="s">
        <v>15</v>
      </c>
      <c r="B3790" s="18" t="s">
        <v>17</v>
      </c>
      <c r="C3790" s="18" t="s">
        <v>18</v>
      </c>
      <c r="D3790" s="18" t="s">
        <v>19</v>
      </c>
      <c r="E3790" s="18" t="s">
        <v>20</v>
      </c>
      <c r="F3790" s="18" t="s">
        <v>21</v>
      </c>
    </row>
    <row r="3791" ht="13.5" customHeight="1">
      <c r="A3791" s="21" t="s">
        <v>22</v>
      </c>
      <c r="B3791" s="21" t="s">
        <v>607</v>
      </c>
      <c r="C3791" s="21" t="s">
        <v>5</v>
      </c>
      <c r="D3791" s="21">
        <v>1.0</v>
      </c>
      <c r="E3791" s="21">
        <v>48000.0</v>
      </c>
      <c r="F3791" s="33">
        <f t="shared" ref="F3791:F3792" si="182">ROUND(IFERROR(D3791*E3791,0),0)</f>
        <v>48000</v>
      </c>
    </row>
    <row r="3792" ht="13.5" customHeight="1">
      <c r="A3792" s="21" t="s">
        <v>27</v>
      </c>
      <c r="B3792" s="21" t="s">
        <v>561</v>
      </c>
      <c r="C3792" s="21" t="s">
        <v>34</v>
      </c>
      <c r="D3792" s="21">
        <v>1.0</v>
      </c>
      <c r="E3792" s="21">
        <v>1500.0</v>
      </c>
      <c r="F3792" s="33">
        <f t="shared" si="182"/>
        <v>1500</v>
      </c>
    </row>
    <row r="3793" ht="13.5" customHeight="1">
      <c r="A3793" s="21"/>
      <c r="B3793" s="21"/>
      <c r="C3793" s="21"/>
      <c r="D3793" s="21"/>
      <c r="E3793" s="279"/>
      <c r="F3793" s="33"/>
    </row>
    <row r="3794" ht="13.5" customHeight="1">
      <c r="A3794" s="21"/>
      <c r="B3794" s="21"/>
      <c r="C3794" s="21"/>
      <c r="D3794" s="21"/>
      <c r="E3794" s="279"/>
      <c r="F3794" s="33"/>
    </row>
    <row r="3795" ht="13.5" customHeight="1">
      <c r="A3795" s="21"/>
      <c r="B3795" s="21"/>
      <c r="C3795" s="21"/>
      <c r="D3795" s="21"/>
      <c r="E3795" s="279"/>
      <c r="F3795" s="33"/>
    </row>
    <row r="3796" ht="13.5" customHeight="1">
      <c r="A3796" s="21"/>
      <c r="B3796" s="21"/>
      <c r="C3796" s="21"/>
      <c r="D3796" s="21"/>
      <c r="E3796" s="279"/>
      <c r="F3796" s="33"/>
    </row>
    <row r="3797" ht="13.5" customHeight="1">
      <c r="D3797" s="7"/>
      <c r="E3797" s="14" t="s">
        <v>37</v>
      </c>
      <c r="F3797" s="46">
        <f>SUM(F3791:F3796)</f>
        <v>49500</v>
      </c>
    </row>
    <row r="3798" ht="13.5" customHeight="1">
      <c r="D3798" s="7"/>
      <c r="E3798" s="9"/>
      <c r="F3798" s="9"/>
    </row>
    <row r="3799" ht="13.5" customHeight="1">
      <c r="A3799" s="14" t="s">
        <v>44</v>
      </c>
      <c r="D3799" s="7"/>
      <c r="E3799" s="9"/>
      <c r="F3799" s="9"/>
    </row>
    <row r="3800" ht="13.5" customHeight="1">
      <c r="A3800" s="18" t="s">
        <v>15</v>
      </c>
      <c r="B3800" s="18" t="s">
        <v>17</v>
      </c>
      <c r="C3800" s="18" t="s">
        <v>18</v>
      </c>
      <c r="D3800" s="18" t="s">
        <v>19</v>
      </c>
      <c r="E3800" s="18" t="s">
        <v>20</v>
      </c>
      <c r="F3800" s="18" t="s">
        <v>21</v>
      </c>
    </row>
    <row r="3801" ht="13.5" customHeight="1">
      <c r="A3801" s="21" t="s">
        <v>22</v>
      </c>
      <c r="B3801" s="21" t="s">
        <v>345</v>
      </c>
      <c r="C3801" s="21" t="s">
        <v>51</v>
      </c>
      <c r="D3801" s="187">
        <f>ROUND(1/B3785,2)</f>
        <v>0.08</v>
      </c>
      <c r="E3801" s="21">
        <v>65000.0</v>
      </c>
      <c r="F3801" s="33">
        <f t="shared" ref="F3801:F3802" si="183">ROUND(IFERROR(D3801*E3801,0),0)</f>
        <v>5200</v>
      </c>
    </row>
    <row r="3802" ht="13.5" customHeight="1">
      <c r="A3802" s="21" t="s">
        <v>27</v>
      </c>
      <c r="B3802" s="21" t="s">
        <v>54</v>
      </c>
      <c r="C3802" s="21" t="s">
        <v>51</v>
      </c>
      <c r="D3802" s="187">
        <f>ROUND(1/B3785,2)</f>
        <v>0.08</v>
      </c>
      <c r="E3802" s="21">
        <v>50000.0</v>
      </c>
      <c r="F3802" s="33">
        <f t="shared" si="183"/>
        <v>4000</v>
      </c>
    </row>
    <row r="3803" ht="13.5" customHeight="1">
      <c r="D3803" s="7"/>
      <c r="E3803" s="14" t="s">
        <v>37</v>
      </c>
      <c r="F3803" s="46">
        <f>SUM(F3801:F3802)</f>
        <v>9200</v>
      </c>
    </row>
    <row r="3804" ht="13.5" customHeight="1">
      <c r="D3804" s="7"/>
      <c r="E3804" s="14" t="s">
        <v>59</v>
      </c>
      <c r="F3804" s="46">
        <f>ROUND(F3803*0.5,0)</f>
        <v>4600</v>
      </c>
    </row>
    <row r="3805" ht="13.5" customHeight="1">
      <c r="D3805" s="7"/>
      <c r="E3805" s="14" t="s">
        <v>60</v>
      </c>
      <c r="F3805" s="46">
        <f>F3803+F3804</f>
        <v>13800</v>
      </c>
    </row>
    <row r="3806" ht="13.5" customHeight="1">
      <c r="D3806" s="7"/>
      <c r="E3806" s="9"/>
      <c r="F3806" s="9"/>
    </row>
    <row r="3807" ht="13.5" customHeight="1">
      <c r="A3807" s="14" t="s">
        <v>62</v>
      </c>
      <c r="D3807" s="7"/>
      <c r="E3807" s="9"/>
      <c r="F3807" s="9"/>
    </row>
    <row r="3808" ht="13.5" customHeight="1">
      <c r="A3808" s="18" t="s">
        <v>15</v>
      </c>
      <c r="B3808" s="18" t="s">
        <v>17</v>
      </c>
      <c r="C3808" s="18" t="s">
        <v>18</v>
      </c>
      <c r="D3808" s="18" t="s">
        <v>19</v>
      </c>
      <c r="E3808" s="18" t="s">
        <v>20</v>
      </c>
      <c r="F3808" s="18" t="s">
        <v>21</v>
      </c>
    </row>
    <row r="3809" ht="13.5" customHeight="1">
      <c r="A3809" s="21" t="s">
        <v>22</v>
      </c>
      <c r="B3809" s="21" t="s">
        <v>394</v>
      </c>
      <c r="C3809" s="21" t="s">
        <v>51</v>
      </c>
      <c r="D3809" s="144">
        <f>ROUND(1/B3785,2)</f>
        <v>0.08</v>
      </c>
      <c r="E3809" s="21">
        <v>45000.0</v>
      </c>
      <c r="F3809" s="33">
        <f>ROUND(IFERROR(D3809*E3809,0),0)</f>
        <v>3600</v>
      </c>
    </row>
    <row r="3810" ht="13.5" customHeight="1">
      <c r="A3810" s="21"/>
      <c r="B3810" s="21"/>
      <c r="C3810" s="21"/>
      <c r="D3810" s="144"/>
      <c r="E3810" s="21"/>
      <c r="F3810" s="33"/>
    </row>
    <row r="3811" ht="13.5" customHeight="1">
      <c r="D3811" s="7"/>
      <c r="E3811" s="14" t="s">
        <v>37</v>
      </c>
      <c r="F3811" s="46">
        <f>SUM(F3809:F3810)</f>
        <v>3600</v>
      </c>
    </row>
    <row r="3812" ht="13.5" customHeight="1">
      <c r="D3812" s="7"/>
      <c r="E3812" s="9"/>
      <c r="F3812" s="9"/>
    </row>
    <row r="3813" ht="13.5" customHeight="1">
      <c r="A3813" s="14" t="s">
        <v>74</v>
      </c>
      <c r="D3813" s="7"/>
      <c r="E3813" s="9"/>
      <c r="F3813" s="9"/>
    </row>
    <row r="3814" ht="13.5" customHeight="1">
      <c r="A3814" s="18"/>
      <c r="B3814" s="18" t="s">
        <v>17</v>
      </c>
      <c r="C3814" s="18" t="s">
        <v>18</v>
      </c>
      <c r="D3814" s="18" t="s">
        <v>19</v>
      </c>
      <c r="E3814" s="18" t="s">
        <v>20</v>
      </c>
      <c r="F3814" s="18" t="s">
        <v>21</v>
      </c>
    </row>
    <row r="3815" ht="13.5" customHeight="1">
      <c r="D3815" s="7"/>
      <c r="E3815" s="14" t="s">
        <v>77</v>
      </c>
      <c r="F3815" s="46">
        <f>F3797+F3805+F3811</f>
        <v>66900</v>
      </c>
    </row>
    <row r="3816" ht="13.5" customHeight="1">
      <c r="D3816" s="7"/>
      <c r="E3816" s="14" t="s">
        <v>6</v>
      </c>
      <c r="F3816" s="46">
        <f>ROUND(F3815*F3786,0)</f>
        <v>10035</v>
      </c>
    </row>
    <row r="3817" ht="13.5" customHeight="1">
      <c r="D3817" s="7"/>
      <c r="E3817" s="14" t="s">
        <v>8</v>
      </c>
      <c r="F3817" s="46">
        <f>ROUND(F3815*F3787,2)</f>
        <v>13380</v>
      </c>
    </row>
    <row r="3818" ht="13.5" customHeight="1">
      <c r="D3818" s="7"/>
      <c r="E3818" s="14" t="s">
        <v>81</v>
      </c>
      <c r="F3818" s="46">
        <f>F3815+F3816+F3817</f>
        <v>90315</v>
      </c>
    </row>
    <row r="3819" ht="13.5" customHeight="1">
      <c r="D3819" s="7"/>
      <c r="E3819" s="14" t="s">
        <v>82</v>
      </c>
      <c r="F3819" s="46">
        <f>ROUND(F3818*F3788,0)</f>
        <v>17160</v>
      </c>
    </row>
    <row r="3820" ht="13.5" customHeight="1">
      <c r="D3820" s="14" t="s">
        <v>608</v>
      </c>
      <c r="E3820" s="18" t="s">
        <v>84</v>
      </c>
      <c r="F3820" s="53">
        <f>F3818+F3819</f>
        <v>107475</v>
      </c>
    </row>
    <row r="3821" ht="13.5" customHeight="1"/>
    <row r="3822" ht="13.5" customHeight="1"/>
    <row r="3823" ht="13.5" customHeight="1"/>
    <row r="3824" ht="13.5" customHeight="1"/>
    <row r="3825" ht="13.5" customHeight="1"/>
    <row r="3826" ht="13.5" customHeight="1"/>
    <row r="3827" ht="13.5" customHeight="1"/>
    <row r="3828" ht="13.5" customHeight="1"/>
    <row r="3829" ht="13.5" customHeight="1">
      <c r="A3829" s="3" t="s">
        <v>1</v>
      </c>
      <c r="B3829" s="5">
        <v>9.8</v>
      </c>
      <c r="C3829" s="3" t="s">
        <v>2</v>
      </c>
      <c r="D3829" s="7"/>
      <c r="E3829" s="3" t="s">
        <v>3</v>
      </c>
      <c r="F3829" s="9"/>
    </row>
    <row r="3830" ht="13.5" customHeight="1">
      <c r="A3830" s="3" t="s">
        <v>4</v>
      </c>
      <c r="B3830" s="5" t="s">
        <v>30</v>
      </c>
      <c r="D3830" s="7"/>
      <c r="E3830" s="3" t="s">
        <v>6</v>
      </c>
      <c r="F3830" s="10">
        <v>0.15</v>
      </c>
    </row>
    <row r="3831" ht="13.5" customHeight="1">
      <c r="D3831" s="7"/>
      <c r="E3831" s="3" t="s">
        <v>8</v>
      </c>
      <c r="F3831" s="10">
        <v>0.2</v>
      </c>
    </row>
    <row r="3832" ht="13.5" customHeight="1">
      <c r="B3832" s="5" t="s">
        <v>609</v>
      </c>
      <c r="D3832" s="7"/>
      <c r="E3832" s="3" t="s">
        <v>10</v>
      </c>
      <c r="F3832" s="10">
        <v>0.19</v>
      </c>
    </row>
    <row r="3833" ht="13.5" customHeight="1">
      <c r="A3833" s="14" t="s">
        <v>11</v>
      </c>
      <c r="D3833" s="7"/>
      <c r="E3833" s="9"/>
      <c r="F3833" s="9"/>
    </row>
    <row r="3834" ht="13.5" customHeight="1">
      <c r="A3834" s="18" t="s">
        <v>15</v>
      </c>
      <c r="B3834" s="18" t="s">
        <v>17</v>
      </c>
      <c r="C3834" s="18" t="s">
        <v>18</v>
      </c>
      <c r="D3834" s="18" t="s">
        <v>19</v>
      </c>
      <c r="E3834" s="18" t="s">
        <v>20</v>
      </c>
      <c r="F3834" s="18" t="s">
        <v>21</v>
      </c>
    </row>
    <row r="3835" ht="13.5" customHeight="1">
      <c r="A3835" s="21" t="s">
        <v>22</v>
      </c>
      <c r="B3835" s="21" t="s">
        <v>610</v>
      </c>
      <c r="C3835" s="21" t="s">
        <v>30</v>
      </c>
      <c r="D3835" s="21">
        <v>1.0</v>
      </c>
      <c r="E3835" s="21">
        <v>45000.0</v>
      </c>
      <c r="F3835" s="33">
        <f t="shared" ref="F3835:F3838" si="184">ROUND(IFERROR(D3835*E3835,0),0)</f>
        <v>45000</v>
      </c>
    </row>
    <row r="3836" ht="13.5" customHeight="1">
      <c r="A3836" s="21" t="s">
        <v>27</v>
      </c>
      <c r="B3836" s="21" t="s">
        <v>611</v>
      </c>
      <c r="C3836" s="21" t="s">
        <v>30</v>
      </c>
      <c r="D3836" s="21">
        <v>2.0</v>
      </c>
      <c r="E3836" s="21">
        <v>600.0</v>
      </c>
      <c r="F3836" s="33">
        <f t="shared" si="184"/>
        <v>1200</v>
      </c>
    </row>
    <row r="3837" ht="13.5" customHeight="1">
      <c r="A3837" s="21" t="s">
        <v>32</v>
      </c>
      <c r="B3837" s="21" t="s">
        <v>612</v>
      </c>
      <c r="C3837" s="21" t="s">
        <v>34</v>
      </c>
      <c r="D3837" s="21">
        <v>1.0</v>
      </c>
      <c r="E3837" s="279">
        <v>800.0</v>
      </c>
      <c r="F3837" s="33">
        <f t="shared" si="184"/>
        <v>800</v>
      </c>
    </row>
    <row r="3838" ht="13.5" customHeight="1">
      <c r="A3838" s="21" t="s">
        <v>99</v>
      </c>
      <c r="B3838" s="21" t="s">
        <v>613</v>
      </c>
      <c r="C3838" s="21" t="s">
        <v>34</v>
      </c>
      <c r="D3838" s="21">
        <v>1.0</v>
      </c>
      <c r="E3838" s="279">
        <v>1200.0</v>
      </c>
      <c r="F3838" s="33">
        <f t="shared" si="184"/>
        <v>1200</v>
      </c>
    </row>
    <row r="3839" ht="13.5" customHeight="1">
      <c r="A3839" s="21"/>
      <c r="B3839" s="21"/>
      <c r="C3839" s="21"/>
      <c r="D3839" s="21"/>
      <c r="E3839" s="279"/>
      <c r="F3839" s="33"/>
    </row>
    <row r="3840" ht="13.5" customHeight="1">
      <c r="A3840" s="21"/>
      <c r="B3840" s="21"/>
      <c r="C3840" s="21"/>
      <c r="D3840" s="21"/>
      <c r="E3840" s="279"/>
      <c r="F3840" s="33"/>
    </row>
    <row r="3841" ht="13.5" customHeight="1">
      <c r="D3841" s="7"/>
      <c r="E3841" s="14" t="s">
        <v>37</v>
      </c>
      <c r="F3841" s="46">
        <f>SUM(F3835:F3840)</f>
        <v>48200</v>
      </c>
    </row>
    <row r="3842" ht="13.5" customHeight="1">
      <c r="D3842" s="7"/>
      <c r="E3842" s="9"/>
      <c r="F3842" s="9"/>
    </row>
    <row r="3843" ht="13.5" customHeight="1">
      <c r="A3843" s="14" t="s">
        <v>44</v>
      </c>
      <c r="D3843" s="7"/>
      <c r="E3843" s="9"/>
      <c r="F3843" s="9"/>
    </row>
    <row r="3844" ht="13.5" customHeight="1">
      <c r="A3844" s="18" t="s">
        <v>15</v>
      </c>
      <c r="B3844" s="18" t="s">
        <v>17</v>
      </c>
      <c r="C3844" s="18" t="s">
        <v>18</v>
      </c>
      <c r="D3844" s="18" t="s">
        <v>19</v>
      </c>
      <c r="E3844" s="18" t="s">
        <v>20</v>
      </c>
      <c r="F3844" s="18" t="s">
        <v>21</v>
      </c>
    </row>
    <row r="3845" ht="13.5" customHeight="1">
      <c r="A3845" s="21" t="s">
        <v>22</v>
      </c>
      <c r="B3845" s="21" t="s">
        <v>345</v>
      </c>
      <c r="C3845" s="21" t="s">
        <v>51</v>
      </c>
      <c r="D3845" s="187">
        <f>ROUND(1/B3829,2)</f>
        <v>0.1</v>
      </c>
      <c r="E3845" s="21">
        <v>65000.0</v>
      </c>
      <c r="F3845" s="33">
        <f t="shared" ref="F3845:F3846" si="185">ROUND(IFERROR(D3845*E3845,0),0)</f>
        <v>6500</v>
      </c>
    </row>
    <row r="3846" ht="13.5" customHeight="1">
      <c r="A3846" s="21" t="s">
        <v>27</v>
      </c>
      <c r="B3846" s="21" t="s">
        <v>54</v>
      </c>
      <c r="C3846" s="21" t="s">
        <v>51</v>
      </c>
      <c r="D3846" s="187">
        <f>ROUND(1/B3829,2)</f>
        <v>0.1</v>
      </c>
      <c r="E3846" s="21">
        <v>50000.0</v>
      </c>
      <c r="F3846" s="33">
        <f t="shared" si="185"/>
        <v>5000</v>
      </c>
    </row>
    <row r="3847" ht="13.5" customHeight="1">
      <c r="D3847" s="7"/>
      <c r="E3847" s="14" t="s">
        <v>37</v>
      </c>
      <c r="F3847" s="46">
        <f>SUM(F3845:F3846)</f>
        <v>11500</v>
      </c>
    </row>
    <row r="3848" ht="13.5" customHeight="1">
      <c r="D3848" s="7"/>
      <c r="E3848" s="14" t="s">
        <v>59</v>
      </c>
      <c r="F3848" s="46">
        <f>ROUND(F3847*0.5,0)</f>
        <v>5750</v>
      </c>
    </row>
    <row r="3849" ht="13.5" customHeight="1">
      <c r="D3849" s="7"/>
      <c r="E3849" s="14" t="s">
        <v>60</v>
      </c>
      <c r="F3849" s="46">
        <f>F3847+F3848</f>
        <v>17250</v>
      </c>
    </row>
    <row r="3850" ht="13.5" customHeight="1">
      <c r="D3850" s="7"/>
      <c r="E3850" s="9"/>
      <c r="F3850" s="9"/>
    </row>
    <row r="3851" ht="13.5" customHeight="1">
      <c r="A3851" s="14" t="s">
        <v>62</v>
      </c>
      <c r="D3851" s="7"/>
      <c r="E3851" s="9"/>
      <c r="F3851" s="9"/>
    </row>
    <row r="3852" ht="13.5" customHeight="1">
      <c r="A3852" s="18" t="s">
        <v>15</v>
      </c>
      <c r="B3852" s="18" t="s">
        <v>17</v>
      </c>
      <c r="C3852" s="18" t="s">
        <v>18</v>
      </c>
      <c r="D3852" s="18" t="s">
        <v>19</v>
      </c>
      <c r="E3852" s="18" t="s">
        <v>20</v>
      </c>
      <c r="F3852" s="18" t="s">
        <v>21</v>
      </c>
    </row>
    <row r="3853" ht="13.5" customHeight="1">
      <c r="A3853" s="21" t="s">
        <v>22</v>
      </c>
      <c r="B3853" s="21" t="s">
        <v>394</v>
      </c>
      <c r="C3853" s="21" t="s">
        <v>51</v>
      </c>
      <c r="D3853" s="144">
        <f>ROUND(1/B3829,2)</f>
        <v>0.1</v>
      </c>
      <c r="E3853" s="21">
        <v>45000.0</v>
      </c>
      <c r="F3853" s="33">
        <f>ROUND(IFERROR(D3853*E3853,0),0)</f>
        <v>4500</v>
      </c>
    </row>
    <row r="3854" ht="13.5" customHeight="1">
      <c r="A3854" s="21"/>
      <c r="B3854" s="21"/>
      <c r="C3854" s="21"/>
      <c r="D3854" s="144"/>
      <c r="E3854" s="21"/>
      <c r="F3854" s="33"/>
    </row>
    <row r="3855" ht="13.5" customHeight="1">
      <c r="D3855" s="7"/>
      <c r="E3855" s="14" t="s">
        <v>37</v>
      </c>
      <c r="F3855" s="46">
        <f>SUM(F3853:F3854)</f>
        <v>4500</v>
      </c>
    </row>
    <row r="3856" ht="13.5" customHeight="1">
      <c r="D3856" s="7"/>
      <c r="E3856" s="9"/>
      <c r="F3856" s="9"/>
    </row>
    <row r="3857" ht="13.5" customHeight="1">
      <c r="A3857" s="14" t="s">
        <v>74</v>
      </c>
      <c r="D3857" s="7"/>
      <c r="E3857" s="9"/>
      <c r="F3857" s="9"/>
    </row>
    <row r="3858" ht="13.5" customHeight="1">
      <c r="A3858" s="18"/>
      <c r="B3858" s="18" t="s">
        <v>17</v>
      </c>
      <c r="C3858" s="18" t="s">
        <v>18</v>
      </c>
      <c r="D3858" s="18" t="s">
        <v>19</v>
      </c>
      <c r="E3858" s="18" t="s">
        <v>20</v>
      </c>
      <c r="F3858" s="18" t="s">
        <v>21</v>
      </c>
    </row>
    <row r="3859" ht="13.5" customHeight="1">
      <c r="D3859" s="7"/>
      <c r="E3859" s="14" t="s">
        <v>77</v>
      </c>
      <c r="F3859" s="46">
        <f>F3841+F3849+F3855</f>
        <v>69950</v>
      </c>
    </row>
    <row r="3860" ht="13.5" customHeight="1">
      <c r="D3860" s="7"/>
      <c r="E3860" s="14" t="s">
        <v>6</v>
      </c>
      <c r="F3860" s="46">
        <f>ROUND(F3859*F3830,0)</f>
        <v>10493</v>
      </c>
    </row>
    <row r="3861" ht="13.5" customHeight="1">
      <c r="D3861" s="7"/>
      <c r="E3861" s="14" t="s">
        <v>8</v>
      </c>
      <c r="F3861" s="46">
        <f>ROUND(F3859*F3831,0)</f>
        <v>13990</v>
      </c>
    </row>
    <row r="3862" ht="13.5" customHeight="1">
      <c r="D3862" s="7"/>
      <c r="E3862" s="14" t="s">
        <v>81</v>
      </c>
      <c r="F3862" s="46">
        <f>F3859+F3860+F3861</f>
        <v>94433</v>
      </c>
    </row>
    <row r="3863" ht="13.5" customHeight="1">
      <c r="D3863" s="7"/>
      <c r="E3863" s="14" t="s">
        <v>82</v>
      </c>
      <c r="F3863" s="46">
        <f>ROUND(F3862*F3832,0)</f>
        <v>17942</v>
      </c>
    </row>
    <row r="3864" ht="13.5" customHeight="1">
      <c r="D3864" s="14" t="s">
        <v>425</v>
      </c>
      <c r="E3864" s="18" t="s">
        <v>84</v>
      </c>
      <c r="F3864" s="53">
        <f>F3862+F3863</f>
        <v>112375</v>
      </c>
    </row>
    <row r="3865" ht="13.5" customHeight="1"/>
    <row r="3866" ht="13.5" customHeight="1"/>
    <row r="3867" ht="13.5" customHeight="1"/>
    <row r="3868" ht="13.5" customHeight="1"/>
    <row r="3869" ht="13.5" customHeight="1"/>
    <row r="3870" ht="13.5" customHeight="1"/>
    <row r="3871" ht="13.5" customHeight="1"/>
    <row r="3872" ht="13.5" customHeight="1"/>
    <row r="3873" ht="13.5" customHeight="1">
      <c r="A3873" s="3" t="s">
        <v>1</v>
      </c>
      <c r="B3873" s="5">
        <v>9.8</v>
      </c>
      <c r="C3873" s="3" t="s">
        <v>2</v>
      </c>
      <c r="D3873" s="7"/>
      <c r="E3873" s="3" t="s">
        <v>3</v>
      </c>
      <c r="F3873" s="9"/>
    </row>
    <row r="3874" ht="13.5" customHeight="1">
      <c r="A3874" s="3" t="s">
        <v>4</v>
      </c>
      <c r="B3874" s="5" t="s">
        <v>30</v>
      </c>
      <c r="D3874" s="7"/>
      <c r="E3874" s="3" t="s">
        <v>6</v>
      </c>
      <c r="F3874" s="10">
        <v>0.15</v>
      </c>
    </row>
    <row r="3875" ht="13.5" customHeight="1">
      <c r="D3875" s="7"/>
      <c r="E3875" s="3" t="s">
        <v>8</v>
      </c>
      <c r="F3875" s="10">
        <v>0.2</v>
      </c>
    </row>
    <row r="3876" ht="13.5" customHeight="1">
      <c r="B3876" s="5" t="s">
        <v>614</v>
      </c>
      <c r="D3876" s="7"/>
      <c r="E3876" s="3" t="s">
        <v>10</v>
      </c>
      <c r="F3876" s="10">
        <v>0.19</v>
      </c>
    </row>
    <row r="3877" ht="13.5" customHeight="1">
      <c r="A3877" s="14" t="s">
        <v>11</v>
      </c>
      <c r="D3877" s="7"/>
      <c r="E3877" s="9"/>
      <c r="F3877" s="9"/>
    </row>
    <row r="3878" ht="13.5" customHeight="1">
      <c r="A3878" s="18" t="s">
        <v>15</v>
      </c>
      <c r="B3878" s="18" t="s">
        <v>17</v>
      </c>
      <c r="C3878" s="18" t="s">
        <v>18</v>
      </c>
      <c r="D3878" s="18" t="s">
        <v>19</v>
      </c>
      <c r="E3878" s="18" t="s">
        <v>20</v>
      </c>
      <c r="F3878" s="18" t="s">
        <v>21</v>
      </c>
    </row>
    <row r="3879" ht="13.5" customHeight="1">
      <c r="A3879" s="21" t="s">
        <v>22</v>
      </c>
      <c r="B3879" s="21" t="s">
        <v>615</v>
      </c>
      <c r="C3879" s="21" t="s">
        <v>30</v>
      </c>
      <c r="D3879" s="21">
        <v>1.0</v>
      </c>
      <c r="E3879" s="21">
        <v>18000.0</v>
      </c>
      <c r="F3879" s="33">
        <f t="shared" ref="F3879:F3882" si="186">ROUND(IFERROR(D3879*E3879,0),0)</f>
        <v>18000</v>
      </c>
    </row>
    <row r="3880" ht="13.5" customHeight="1">
      <c r="A3880" s="21" t="s">
        <v>27</v>
      </c>
      <c r="B3880" s="21" t="s">
        <v>611</v>
      </c>
      <c r="C3880" s="21" t="s">
        <v>30</v>
      </c>
      <c r="D3880" s="21">
        <v>2.0</v>
      </c>
      <c r="E3880" s="21">
        <v>600.0</v>
      </c>
      <c r="F3880" s="33">
        <f t="shared" si="186"/>
        <v>1200</v>
      </c>
    </row>
    <row r="3881" ht="13.5" customHeight="1">
      <c r="A3881" s="21" t="s">
        <v>32</v>
      </c>
      <c r="B3881" s="21" t="s">
        <v>612</v>
      </c>
      <c r="C3881" s="21" t="s">
        <v>34</v>
      </c>
      <c r="D3881" s="21">
        <v>1.0</v>
      </c>
      <c r="E3881" s="279">
        <v>800.0</v>
      </c>
      <c r="F3881" s="33">
        <f t="shared" si="186"/>
        <v>800</v>
      </c>
    </row>
    <row r="3882" ht="13.5" customHeight="1">
      <c r="A3882" s="21" t="s">
        <v>99</v>
      </c>
      <c r="B3882" s="21" t="s">
        <v>613</v>
      </c>
      <c r="C3882" s="21" t="s">
        <v>34</v>
      </c>
      <c r="D3882" s="21">
        <v>1.0</v>
      </c>
      <c r="E3882" s="279">
        <v>1200.0</v>
      </c>
      <c r="F3882" s="33">
        <f t="shared" si="186"/>
        <v>1200</v>
      </c>
    </row>
    <row r="3883" ht="13.5" customHeight="1">
      <c r="A3883" s="21"/>
      <c r="B3883" s="21"/>
      <c r="C3883" s="21"/>
      <c r="D3883" s="21"/>
      <c r="E3883" s="279"/>
      <c r="F3883" s="33"/>
    </row>
    <row r="3884" ht="13.5" customHeight="1">
      <c r="A3884" s="21"/>
      <c r="B3884" s="21"/>
      <c r="C3884" s="21"/>
      <c r="D3884" s="21"/>
      <c r="E3884" s="279"/>
      <c r="F3884" s="33"/>
    </row>
    <row r="3885" ht="13.5" customHeight="1">
      <c r="D3885" s="7"/>
      <c r="E3885" s="14" t="s">
        <v>37</v>
      </c>
      <c r="F3885" s="46">
        <f>SUM(F3879:F3884)</f>
        <v>21200</v>
      </c>
    </row>
    <row r="3886" ht="13.5" customHeight="1">
      <c r="D3886" s="7"/>
      <c r="E3886" s="9"/>
      <c r="F3886" s="9"/>
    </row>
    <row r="3887" ht="13.5" customHeight="1">
      <c r="A3887" s="14" t="s">
        <v>44</v>
      </c>
      <c r="D3887" s="7"/>
      <c r="E3887" s="9"/>
      <c r="F3887" s="9"/>
    </row>
    <row r="3888" ht="13.5" customHeight="1">
      <c r="A3888" s="18" t="s">
        <v>15</v>
      </c>
      <c r="B3888" s="18" t="s">
        <v>17</v>
      </c>
      <c r="C3888" s="18" t="s">
        <v>18</v>
      </c>
      <c r="D3888" s="18" t="s">
        <v>19</v>
      </c>
      <c r="E3888" s="18" t="s">
        <v>20</v>
      </c>
      <c r="F3888" s="18" t="s">
        <v>21</v>
      </c>
    </row>
    <row r="3889" ht="13.5" customHeight="1">
      <c r="A3889" s="21" t="s">
        <v>22</v>
      </c>
      <c r="B3889" s="21" t="s">
        <v>345</v>
      </c>
      <c r="C3889" s="21" t="s">
        <v>51</v>
      </c>
      <c r="D3889" s="187">
        <f>ROUND(1/B3873,2)</f>
        <v>0.1</v>
      </c>
      <c r="E3889" s="21">
        <v>65000.0</v>
      </c>
      <c r="F3889" s="33">
        <f t="shared" ref="F3889:F3890" si="187">ROUND(IFERROR(D3889*E3889,0),0)</f>
        <v>6500</v>
      </c>
    </row>
    <row r="3890" ht="13.5" customHeight="1">
      <c r="A3890" s="21" t="s">
        <v>27</v>
      </c>
      <c r="B3890" s="21" t="s">
        <v>54</v>
      </c>
      <c r="C3890" s="21" t="s">
        <v>51</v>
      </c>
      <c r="D3890" s="187">
        <f>ROUND(1/B3873,2)</f>
        <v>0.1</v>
      </c>
      <c r="E3890" s="21">
        <v>50000.0</v>
      </c>
      <c r="F3890" s="33">
        <f t="shared" si="187"/>
        <v>5000</v>
      </c>
    </row>
    <row r="3891" ht="13.5" customHeight="1">
      <c r="D3891" s="7"/>
      <c r="E3891" s="14" t="s">
        <v>37</v>
      </c>
      <c r="F3891" s="46">
        <f>SUM(F3889:F3890)</f>
        <v>11500</v>
      </c>
    </row>
    <row r="3892" ht="13.5" customHeight="1">
      <c r="D3892" s="7"/>
      <c r="E3892" s="14" t="s">
        <v>59</v>
      </c>
      <c r="F3892" s="46">
        <f>F3891*0.5</f>
        <v>5750</v>
      </c>
    </row>
    <row r="3893" ht="13.5" customHeight="1">
      <c r="D3893" s="7"/>
      <c r="E3893" s="14" t="s">
        <v>60</v>
      </c>
      <c r="F3893" s="46">
        <f>F3891+F3892</f>
        <v>17250</v>
      </c>
    </row>
    <row r="3894" ht="13.5" customHeight="1">
      <c r="D3894" s="7"/>
      <c r="E3894" s="9"/>
      <c r="F3894" s="48"/>
    </row>
    <row r="3895" ht="13.5" customHeight="1">
      <c r="A3895" s="14" t="s">
        <v>62</v>
      </c>
      <c r="D3895" s="7"/>
      <c r="E3895" s="9"/>
      <c r="F3895" s="9"/>
    </row>
    <row r="3896" ht="13.5" customHeight="1">
      <c r="A3896" s="18" t="s">
        <v>15</v>
      </c>
      <c r="B3896" s="18" t="s">
        <v>17</v>
      </c>
      <c r="C3896" s="18" t="s">
        <v>18</v>
      </c>
      <c r="D3896" s="18" t="s">
        <v>19</v>
      </c>
      <c r="E3896" s="18" t="s">
        <v>20</v>
      </c>
      <c r="F3896" s="18" t="s">
        <v>21</v>
      </c>
    </row>
    <row r="3897" ht="13.5" customHeight="1">
      <c r="A3897" s="21" t="s">
        <v>22</v>
      </c>
      <c r="B3897" s="21" t="s">
        <v>394</v>
      </c>
      <c r="C3897" s="21" t="s">
        <v>51</v>
      </c>
      <c r="D3897" s="144">
        <f>ROUND(1/B3873,2)</f>
        <v>0.1</v>
      </c>
      <c r="E3897" s="21">
        <v>45000.0</v>
      </c>
      <c r="F3897" s="33">
        <f>ROUND(IFERROR(D3897*E3897,0),0)</f>
        <v>4500</v>
      </c>
    </row>
    <row r="3898" ht="13.5" customHeight="1">
      <c r="A3898" s="21"/>
      <c r="B3898" s="21"/>
      <c r="C3898" s="21"/>
      <c r="D3898" s="144"/>
      <c r="E3898" s="21"/>
      <c r="F3898" s="33"/>
    </row>
    <row r="3899" ht="13.5" customHeight="1">
      <c r="D3899" s="7"/>
      <c r="E3899" s="14" t="s">
        <v>37</v>
      </c>
      <c r="F3899" s="46">
        <f>SUM(F3897:F3898)</f>
        <v>4500</v>
      </c>
    </row>
    <row r="3900" ht="13.5" customHeight="1">
      <c r="D3900" s="7"/>
      <c r="E3900" s="9"/>
      <c r="F3900" s="9"/>
    </row>
    <row r="3901" ht="13.5" customHeight="1">
      <c r="A3901" s="14" t="s">
        <v>74</v>
      </c>
      <c r="D3901" s="7"/>
      <c r="E3901" s="9"/>
      <c r="F3901" s="9"/>
    </row>
    <row r="3902" ht="13.5" customHeight="1">
      <c r="A3902" s="18"/>
      <c r="B3902" s="18" t="s">
        <v>17</v>
      </c>
      <c r="C3902" s="18" t="s">
        <v>18</v>
      </c>
      <c r="D3902" s="18" t="s">
        <v>19</v>
      </c>
      <c r="E3902" s="18" t="s">
        <v>20</v>
      </c>
      <c r="F3902" s="18" t="s">
        <v>21</v>
      </c>
    </row>
    <row r="3903" ht="13.5" customHeight="1">
      <c r="D3903" s="7"/>
      <c r="E3903" s="14" t="s">
        <v>77</v>
      </c>
      <c r="F3903" s="46">
        <f>F3885+F3893+F3899</f>
        <v>42950</v>
      </c>
    </row>
    <row r="3904" ht="13.5" customHeight="1">
      <c r="D3904" s="7"/>
      <c r="E3904" s="14" t="s">
        <v>6</v>
      </c>
      <c r="F3904" s="46">
        <f>ROUND(F3903*F3874,0)</f>
        <v>6443</v>
      </c>
    </row>
    <row r="3905" ht="13.5" customHeight="1">
      <c r="D3905" s="7"/>
      <c r="E3905" s="14" t="s">
        <v>8</v>
      </c>
      <c r="F3905" s="46">
        <f>ROUND(F3903*F3875,0)</f>
        <v>8590</v>
      </c>
    </row>
    <row r="3906" ht="13.5" customHeight="1">
      <c r="D3906" s="7"/>
      <c r="E3906" s="14" t="s">
        <v>81</v>
      </c>
      <c r="F3906" s="46">
        <f>F3903+F3904+F3905</f>
        <v>57983</v>
      </c>
    </row>
    <row r="3907" ht="13.5" customHeight="1">
      <c r="D3907" s="7"/>
      <c r="E3907" s="14" t="s">
        <v>82</v>
      </c>
      <c r="F3907" s="46">
        <f>ROUND(F3906*F3876,0)</f>
        <v>11017</v>
      </c>
    </row>
    <row r="3908" ht="13.5" customHeight="1">
      <c r="D3908" s="14" t="s">
        <v>425</v>
      </c>
      <c r="E3908" s="18" t="s">
        <v>84</v>
      </c>
      <c r="F3908" s="53">
        <f>F3906+F3907</f>
        <v>69000</v>
      </c>
    </row>
    <row r="3909" ht="13.5" customHeight="1"/>
    <row r="3910" ht="13.5" customHeight="1"/>
    <row r="3911" ht="13.5" customHeight="1"/>
    <row r="3912" ht="13.5" customHeight="1"/>
    <row r="3913" ht="13.5" customHeight="1"/>
    <row r="3914" ht="13.5" customHeight="1"/>
    <row r="3915" ht="13.5" customHeight="1"/>
    <row r="3916" ht="13.5" customHeight="1"/>
    <row r="3917" ht="13.5" customHeight="1">
      <c r="A3917" s="3" t="s">
        <v>1</v>
      </c>
      <c r="B3917" s="5">
        <v>62.0</v>
      </c>
      <c r="C3917" s="3" t="s">
        <v>2</v>
      </c>
      <c r="D3917" s="7"/>
      <c r="E3917" s="3" t="s">
        <v>3</v>
      </c>
      <c r="F3917" s="9"/>
    </row>
    <row r="3918" ht="13.5" customHeight="1">
      <c r="A3918" s="3" t="s">
        <v>4</v>
      </c>
      <c r="B3918" s="5" t="s">
        <v>30</v>
      </c>
      <c r="D3918" s="7"/>
      <c r="E3918" s="3" t="s">
        <v>6</v>
      </c>
      <c r="F3918" s="10">
        <v>0.15</v>
      </c>
    </row>
    <row r="3919" ht="13.5" customHeight="1">
      <c r="D3919" s="7"/>
      <c r="E3919" s="3" t="s">
        <v>8</v>
      </c>
      <c r="F3919" s="10">
        <v>0.2</v>
      </c>
    </row>
    <row r="3920" ht="13.5" customHeight="1">
      <c r="B3920" s="5" t="s">
        <v>616</v>
      </c>
      <c r="D3920" s="7"/>
      <c r="E3920" s="3" t="s">
        <v>10</v>
      </c>
      <c r="F3920" s="10">
        <v>0.19</v>
      </c>
    </row>
    <row r="3921" ht="13.5" customHeight="1">
      <c r="A3921" s="14" t="s">
        <v>11</v>
      </c>
      <c r="D3921" s="7"/>
      <c r="E3921" s="9"/>
      <c r="F3921" s="9"/>
    </row>
    <row r="3922" ht="13.5" customHeight="1">
      <c r="A3922" s="18" t="s">
        <v>15</v>
      </c>
      <c r="B3922" s="18" t="s">
        <v>17</v>
      </c>
      <c r="C3922" s="18" t="s">
        <v>18</v>
      </c>
      <c r="D3922" s="18" t="s">
        <v>19</v>
      </c>
      <c r="E3922" s="18" t="s">
        <v>20</v>
      </c>
      <c r="F3922" s="18" t="s">
        <v>21</v>
      </c>
    </row>
    <row r="3923" ht="13.5" customHeight="1">
      <c r="A3923" s="21" t="s">
        <v>22</v>
      </c>
      <c r="B3923" s="21" t="s">
        <v>617</v>
      </c>
      <c r="C3923" s="21" t="s">
        <v>30</v>
      </c>
      <c r="D3923" s="21">
        <v>1.0</v>
      </c>
      <c r="E3923" s="21">
        <v>1500.0</v>
      </c>
      <c r="F3923" s="33">
        <f>ROUND(IFERROR(D3923*E3923,0),0)</f>
        <v>1500</v>
      </c>
    </row>
    <row r="3924" ht="13.5" customHeight="1">
      <c r="A3924" s="21"/>
      <c r="B3924" s="21"/>
      <c r="C3924" s="21"/>
      <c r="D3924" s="21"/>
      <c r="E3924" s="21"/>
      <c r="F3924" s="33">
        <f>IFERROR(D3924*E3924,0)</f>
        <v>0</v>
      </c>
    </row>
    <row r="3925" ht="13.5" customHeight="1">
      <c r="A3925" s="21"/>
      <c r="B3925" s="21"/>
      <c r="C3925" s="21"/>
      <c r="D3925" s="21"/>
      <c r="E3925" s="279"/>
      <c r="F3925" s="33"/>
    </row>
    <row r="3926" ht="13.5" customHeight="1">
      <c r="A3926" s="21"/>
      <c r="B3926" s="21"/>
      <c r="C3926" s="21"/>
      <c r="D3926" s="21"/>
      <c r="E3926" s="279"/>
      <c r="F3926" s="33"/>
    </row>
    <row r="3927" ht="13.5" customHeight="1">
      <c r="A3927" s="21"/>
      <c r="B3927" s="21"/>
      <c r="C3927" s="21"/>
      <c r="D3927" s="21"/>
      <c r="E3927" s="279"/>
      <c r="F3927" s="33"/>
    </row>
    <row r="3928" ht="13.5" customHeight="1">
      <c r="A3928" s="21"/>
      <c r="B3928" s="21"/>
      <c r="C3928" s="21"/>
      <c r="D3928" s="21"/>
      <c r="E3928" s="279"/>
      <c r="F3928" s="33"/>
    </row>
    <row r="3929" ht="13.5" customHeight="1">
      <c r="D3929" s="7"/>
      <c r="E3929" s="14" t="s">
        <v>37</v>
      </c>
      <c r="F3929" s="46">
        <f>SUM(F3923:F3928)</f>
        <v>1500</v>
      </c>
    </row>
    <row r="3930" ht="13.5" customHeight="1">
      <c r="D3930" s="7"/>
      <c r="E3930" s="9"/>
      <c r="F3930" s="9"/>
    </row>
    <row r="3931" ht="13.5" customHeight="1">
      <c r="A3931" s="14" t="s">
        <v>44</v>
      </c>
      <c r="D3931" s="7"/>
      <c r="E3931" s="9"/>
      <c r="F3931" s="9"/>
    </row>
    <row r="3932" ht="13.5" customHeight="1">
      <c r="A3932" s="18" t="s">
        <v>15</v>
      </c>
      <c r="B3932" s="18" t="s">
        <v>17</v>
      </c>
      <c r="C3932" s="18" t="s">
        <v>18</v>
      </c>
      <c r="D3932" s="18" t="s">
        <v>19</v>
      </c>
      <c r="E3932" s="18" t="s">
        <v>20</v>
      </c>
      <c r="F3932" s="18" t="s">
        <v>21</v>
      </c>
    </row>
    <row r="3933" ht="13.5" customHeight="1">
      <c r="A3933" s="21" t="s">
        <v>22</v>
      </c>
      <c r="B3933" s="21" t="s">
        <v>345</v>
      </c>
      <c r="C3933" s="21" t="s">
        <v>51</v>
      </c>
      <c r="D3933" s="187">
        <f>ROUND(1/B3917,2)</f>
        <v>0.02</v>
      </c>
      <c r="E3933" s="21">
        <v>65000.0</v>
      </c>
      <c r="F3933" s="33">
        <f t="shared" ref="F3933:F3934" si="188">ROUND(IFERROR(D3933*E3933,0),0)</f>
        <v>1300</v>
      </c>
    </row>
    <row r="3934" ht="13.5" customHeight="1">
      <c r="A3934" s="21" t="s">
        <v>27</v>
      </c>
      <c r="B3934" s="21" t="s">
        <v>54</v>
      </c>
      <c r="C3934" s="21" t="s">
        <v>51</v>
      </c>
      <c r="D3934" s="187">
        <f>ROUND(1/B3917,2)</f>
        <v>0.02</v>
      </c>
      <c r="E3934" s="21">
        <v>50000.0</v>
      </c>
      <c r="F3934" s="33">
        <f t="shared" si="188"/>
        <v>1000</v>
      </c>
    </row>
    <row r="3935" ht="13.5" customHeight="1">
      <c r="D3935" s="7"/>
      <c r="E3935" s="14" t="s">
        <v>37</v>
      </c>
      <c r="F3935" s="46">
        <f>SUM(F3933:F3934)</f>
        <v>2300</v>
      </c>
    </row>
    <row r="3936" ht="13.5" customHeight="1">
      <c r="D3936" s="7"/>
      <c r="E3936" s="14" t="s">
        <v>59</v>
      </c>
      <c r="F3936" s="46">
        <f>ROUND(F3935*0.5,0)</f>
        <v>1150</v>
      </c>
    </row>
    <row r="3937" ht="13.5" customHeight="1">
      <c r="D3937" s="7"/>
      <c r="E3937" s="14" t="s">
        <v>60</v>
      </c>
      <c r="F3937" s="46">
        <f>F3935+F3936</f>
        <v>3450</v>
      </c>
    </row>
    <row r="3938" ht="13.5" customHeight="1">
      <c r="D3938" s="7"/>
      <c r="E3938" s="9"/>
      <c r="F3938" s="9"/>
    </row>
    <row r="3939" ht="13.5" customHeight="1">
      <c r="A3939" s="14" t="s">
        <v>62</v>
      </c>
      <c r="D3939" s="7"/>
      <c r="E3939" s="9"/>
      <c r="F3939" s="9"/>
    </row>
    <row r="3940" ht="13.5" customHeight="1">
      <c r="A3940" s="18" t="s">
        <v>15</v>
      </c>
      <c r="B3940" s="18" t="s">
        <v>17</v>
      </c>
      <c r="C3940" s="18" t="s">
        <v>18</v>
      </c>
      <c r="D3940" s="18" t="s">
        <v>19</v>
      </c>
      <c r="E3940" s="18" t="s">
        <v>20</v>
      </c>
      <c r="F3940" s="18" t="s">
        <v>21</v>
      </c>
    </row>
    <row r="3941" ht="13.5" customHeight="1">
      <c r="A3941" s="21" t="s">
        <v>22</v>
      </c>
      <c r="B3941" s="21" t="s">
        <v>394</v>
      </c>
      <c r="C3941" s="21" t="s">
        <v>51</v>
      </c>
      <c r="D3941" s="144">
        <f>ROUND(1/B3917,2)</f>
        <v>0.02</v>
      </c>
      <c r="E3941" s="21">
        <v>45000.0</v>
      </c>
      <c r="F3941" s="33">
        <f>ROUND(IFERROR(D3941*E3941,0),0)</f>
        <v>900</v>
      </c>
    </row>
    <row r="3942" ht="13.5" customHeight="1">
      <c r="A3942" s="21"/>
      <c r="B3942" s="21"/>
      <c r="C3942" s="21"/>
      <c r="D3942" s="144"/>
      <c r="E3942" s="21"/>
      <c r="F3942" s="33"/>
    </row>
    <row r="3943" ht="13.5" customHeight="1">
      <c r="D3943" s="7"/>
      <c r="E3943" s="14" t="s">
        <v>37</v>
      </c>
      <c r="F3943" s="46">
        <f>SUM(F3941:F3942)</f>
        <v>900</v>
      </c>
    </row>
    <row r="3944" ht="13.5" customHeight="1">
      <c r="D3944" s="7"/>
      <c r="E3944" s="9"/>
      <c r="F3944" s="9"/>
    </row>
    <row r="3945" ht="13.5" customHeight="1">
      <c r="A3945" s="14" t="s">
        <v>74</v>
      </c>
      <c r="D3945" s="7"/>
      <c r="E3945" s="9"/>
      <c r="F3945" s="9"/>
    </row>
    <row r="3946" ht="13.5" customHeight="1">
      <c r="A3946" s="18"/>
      <c r="B3946" s="18" t="s">
        <v>17</v>
      </c>
      <c r="C3946" s="18" t="s">
        <v>18</v>
      </c>
      <c r="D3946" s="18" t="s">
        <v>19</v>
      </c>
      <c r="E3946" s="18" t="s">
        <v>20</v>
      </c>
      <c r="F3946" s="18" t="s">
        <v>21</v>
      </c>
    </row>
    <row r="3947" ht="13.5" customHeight="1">
      <c r="D3947" s="7"/>
      <c r="E3947" s="14" t="s">
        <v>77</v>
      </c>
      <c r="F3947" s="46">
        <f>F3929+F3937+F3943</f>
        <v>5850</v>
      </c>
    </row>
    <row r="3948" ht="13.5" customHeight="1">
      <c r="D3948" s="7"/>
      <c r="E3948" s="14" t="s">
        <v>6</v>
      </c>
      <c r="F3948" s="46">
        <f>ROUND(F3947*F3918,0)</f>
        <v>878</v>
      </c>
    </row>
    <row r="3949" ht="13.5" customHeight="1">
      <c r="D3949" s="7"/>
      <c r="E3949" s="14" t="s">
        <v>8</v>
      </c>
      <c r="F3949" s="46">
        <f>ROUND(F3947*F3919,0)</f>
        <v>1170</v>
      </c>
    </row>
    <row r="3950" ht="13.5" customHeight="1">
      <c r="D3950" s="7"/>
      <c r="E3950" s="14" t="s">
        <v>81</v>
      </c>
      <c r="F3950" s="46">
        <f>F3947+F3948+F3949</f>
        <v>7898</v>
      </c>
    </row>
    <row r="3951" ht="13.5" customHeight="1">
      <c r="D3951" s="7"/>
      <c r="E3951" s="14" t="s">
        <v>82</v>
      </c>
      <c r="F3951" s="46">
        <f>ROUND(F3950*F3920,0)</f>
        <v>1501</v>
      </c>
    </row>
    <row r="3952" ht="13.5" customHeight="1">
      <c r="D3952" s="14" t="s">
        <v>425</v>
      </c>
      <c r="E3952" s="18" t="s">
        <v>84</v>
      </c>
      <c r="F3952" s="53">
        <f>F3950+F3951</f>
        <v>9399</v>
      </c>
    </row>
    <row r="3953" ht="13.5" customHeight="1"/>
    <row r="3954" ht="13.5" customHeight="1"/>
    <row r="3955" ht="13.5" customHeight="1"/>
    <row r="3956" ht="13.5" customHeight="1"/>
    <row r="3957" ht="13.5" customHeight="1"/>
    <row r="3958" ht="13.5" customHeight="1"/>
    <row r="3959" ht="13.5" customHeight="1"/>
    <row r="3960" ht="13.5" customHeight="1"/>
    <row r="3961" ht="13.5" customHeight="1">
      <c r="A3961" s="3" t="s">
        <v>1</v>
      </c>
      <c r="B3961" s="5">
        <v>50.0</v>
      </c>
      <c r="C3961" s="3" t="s">
        <v>2</v>
      </c>
      <c r="D3961" s="7"/>
      <c r="E3961" s="3" t="s">
        <v>3</v>
      </c>
      <c r="F3961" s="9"/>
    </row>
    <row r="3962" ht="13.5" customHeight="1">
      <c r="A3962" s="3" t="s">
        <v>4</v>
      </c>
      <c r="B3962" s="5" t="s">
        <v>125</v>
      </c>
      <c r="D3962" s="7"/>
      <c r="E3962" s="3" t="s">
        <v>6</v>
      </c>
      <c r="F3962" s="10">
        <v>0.15</v>
      </c>
    </row>
    <row r="3963" ht="13.5" customHeight="1">
      <c r="D3963" s="7"/>
      <c r="E3963" s="3" t="s">
        <v>8</v>
      </c>
      <c r="F3963" s="10">
        <v>0.2</v>
      </c>
    </row>
    <row r="3964" ht="13.5" customHeight="1">
      <c r="B3964" s="5" t="s">
        <v>618</v>
      </c>
      <c r="D3964" s="7"/>
      <c r="E3964" s="3" t="s">
        <v>10</v>
      </c>
      <c r="F3964" s="10">
        <v>0.19</v>
      </c>
    </row>
    <row r="3965" ht="13.5" customHeight="1">
      <c r="A3965" s="14" t="s">
        <v>11</v>
      </c>
      <c r="D3965" s="7"/>
      <c r="E3965" s="9"/>
      <c r="F3965" s="9"/>
    </row>
    <row r="3966" ht="13.5" customHeight="1">
      <c r="A3966" s="18" t="s">
        <v>15</v>
      </c>
      <c r="B3966" s="18" t="s">
        <v>17</v>
      </c>
      <c r="C3966" s="18" t="s">
        <v>18</v>
      </c>
      <c r="D3966" s="18" t="s">
        <v>19</v>
      </c>
      <c r="E3966" s="18" t="s">
        <v>20</v>
      </c>
      <c r="F3966" s="18" t="s">
        <v>21</v>
      </c>
    </row>
    <row r="3967" ht="13.5" customHeight="1">
      <c r="A3967" s="21" t="s">
        <v>22</v>
      </c>
      <c r="B3967" s="21" t="s">
        <v>619</v>
      </c>
      <c r="C3967" s="21" t="s">
        <v>34</v>
      </c>
      <c r="D3967" s="21">
        <v>1.0</v>
      </c>
      <c r="E3967" s="21">
        <v>1500.0</v>
      </c>
      <c r="F3967" s="33">
        <f t="shared" ref="F3967:F3969" si="189">ROUND(IFERROR(D3967*E3967,0),0)</f>
        <v>1500</v>
      </c>
    </row>
    <row r="3968" ht="13.5" customHeight="1">
      <c r="A3968" s="21" t="s">
        <v>27</v>
      </c>
      <c r="B3968" s="21" t="s">
        <v>620</v>
      </c>
      <c r="C3968" s="21" t="s">
        <v>621</v>
      </c>
      <c r="D3968" s="21">
        <v>0.03</v>
      </c>
      <c r="E3968" s="21">
        <v>12000.0</v>
      </c>
      <c r="F3968" s="33">
        <f t="shared" si="189"/>
        <v>360</v>
      </c>
    </row>
    <row r="3969" ht="13.5" customHeight="1">
      <c r="A3969" s="21" t="s">
        <v>32</v>
      </c>
      <c r="B3969" s="21" t="s">
        <v>622</v>
      </c>
      <c r="C3969" s="21" t="s">
        <v>51</v>
      </c>
      <c r="D3969" s="21">
        <v>0.02</v>
      </c>
      <c r="E3969" s="279">
        <v>3200.0</v>
      </c>
      <c r="F3969" s="33">
        <f t="shared" si="189"/>
        <v>64</v>
      </c>
    </row>
    <row r="3970" ht="13.5" customHeight="1">
      <c r="A3970" s="21"/>
      <c r="B3970" s="21"/>
      <c r="C3970" s="21"/>
      <c r="D3970" s="21"/>
      <c r="E3970" s="279"/>
      <c r="F3970" s="33"/>
    </row>
    <row r="3971" ht="13.5" customHeight="1">
      <c r="A3971" s="21"/>
      <c r="B3971" s="21"/>
      <c r="C3971" s="21"/>
      <c r="D3971" s="21"/>
      <c r="E3971" s="279"/>
      <c r="F3971" s="33"/>
    </row>
    <row r="3972" ht="13.5" customHeight="1">
      <c r="A3972" s="21"/>
      <c r="B3972" s="21"/>
      <c r="C3972" s="21"/>
      <c r="D3972" s="21"/>
      <c r="E3972" s="279"/>
      <c r="F3972" s="33"/>
    </row>
    <row r="3973" ht="13.5" customHeight="1">
      <c r="D3973" s="7"/>
      <c r="E3973" s="14" t="s">
        <v>37</v>
      </c>
      <c r="F3973" s="46">
        <f>SUM(F3967:F3972)</f>
        <v>1924</v>
      </c>
    </row>
    <row r="3974" ht="13.5" customHeight="1">
      <c r="D3974" s="7"/>
      <c r="E3974" s="9"/>
      <c r="F3974" s="9"/>
    </row>
    <row r="3975" ht="13.5" customHeight="1">
      <c r="A3975" s="14" t="s">
        <v>44</v>
      </c>
      <c r="D3975" s="7"/>
      <c r="E3975" s="9"/>
      <c r="F3975" s="9"/>
    </row>
    <row r="3976" ht="13.5" customHeight="1">
      <c r="A3976" s="18" t="s">
        <v>15</v>
      </c>
      <c r="B3976" s="18" t="s">
        <v>17</v>
      </c>
      <c r="C3976" s="18" t="s">
        <v>18</v>
      </c>
      <c r="D3976" s="18" t="s">
        <v>19</v>
      </c>
      <c r="E3976" s="18" t="s">
        <v>20</v>
      </c>
      <c r="F3976" s="18" t="s">
        <v>21</v>
      </c>
    </row>
    <row r="3977" ht="13.5" customHeight="1">
      <c r="A3977" s="21" t="s">
        <v>22</v>
      </c>
      <c r="B3977" s="21" t="s">
        <v>345</v>
      </c>
      <c r="C3977" s="21" t="s">
        <v>51</v>
      </c>
      <c r="D3977" s="187">
        <f>ROUND(1/B3961,2)</f>
        <v>0.02</v>
      </c>
      <c r="E3977" s="21">
        <v>65000.0</v>
      </c>
      <c r="F3977" s="33">
        <f t="shared" ref="F3977:F3978" si="190">ROUND(IFERROR(D3977*E3977,0),0)</f>
        <v>1300</v>
      </c>
    </row>
    <row r="3978" ht="13.5" customHeight="1">
      <c r="A3978" s="21" t="s">
        <v>27</v>
      </c>
      <c r="B3978" s="21" t="s">
        <v>54</v>
      </c>
      <c r="C3978" s="21" t="s">
        <v>51</v>
      </c>
      <c r="D3978" s="187">
        <f>ROUND(1/B3961,2)</f>
        <v>0.02</v>
      </c>
      <c r="E3978" s="21">
        <v>50000.0</v>
      </c>
      <c r="F3978" s="33">
        <f t="shared" si="190"/>
        <v>1000</v>
      </c>
    </row>
    <row r="3979" ht="13.5" customHeight="1">
      <c r="D3979" s="7"/>
      <c r="E3979" s="14" t="s">
        <v>37</v>
      </c>
      <c r="F3979" s="46">
        <f>SUM(F3977:F3978)</f>
        <v>2300</v>
      </c>
    </row>
    <row r="3980" ht="13.5" customHeight="1">
      <c r="D3980" s="7"/>
      <c r="E3980" s="14" t="s">
        <v>59</v>
      </c>
      <c r="F3980" s="46">
        <f>F3979*0.5</f>
        <v>1150</v>
      </c>
    </row>
    <row r="3981" ht="13.5" customHeight="1">
      <c r="D3981" s="7"/>
      <c r="E3981" s="14" t="s">
        <v>60</v>
      </c>
      <c r="F3981" s="46">
        <f>F3979+F3980</f>
        <v>3450</v>
      </c>
    </row>
    <row r="3982" ht="13.5" customHeight="1">
      <c r="D3982" s="7"/>
      <c r="E3982" s="9"/>
      <c r="F3982" s="9"/>
    </row>
    <row r="3983" ht="13.5" customHeight="1">
      <c r="A3983" s="14" t="s">
        <v>62</v>
      </c>
      <c r="D3983" s="7"/>
      <c r="E3983" s="9"/>
      <c r="F3983" s="9"/>
    </row>
    <row r="3984" ht="13.5" customHeight="1">
      <c r="A3984" s="18" t="s">
        <v>15</v>
      </c>
      <c r="B3984" s="18" t="s">
        <v>17</v>
      </c>
      <c r="C3984" s="18" t="s">
        <v>18</v>
      </c>
      <c r="D3984" s="18" t="s">
        <v>19</v>
      </c>
      <c r="E3984" s="18" t="s">
        <v>20</v>
      </c>
      <c r="F3984" s="18" t="s">
        <v>21</v>
      </c>
    </row>
    <row r="3985" ht="13.5" customHeight="1">
      <c r="A3985" s="21" t="s">
        <v>22</v>
      </c>
      <c r="B3985" s="21" t="s">
        <v>394</v>
      </c>
      <c r="C3985" s="21" t="s">
        <v>51</v>
      </c>
      <c r="D3985" s="144">
        <f>ROUND(1/B3961,2)</f>
        <v>0.02</v>
      </c>
      <c r="E3985" s="21">
        <v>45000.0</v>
      </c>
      <c r="F3985" s="33">
        <f>ROUND(IFERROR(D3985*E3985,0),0)</f>
        <v>900</v>
      </c>
    </row>
    <row r="3986" ht="13.5" customHeight="1">
      <c r="A3986" s="21"/>
      <c r="B3986" s="21"/>
      <c r="C3986" s="21"/>
      <c r="D3986" s="144"/>
      <c r="E3986" s="21"/>
      <c r="F3986" s="33"/>
    </row>
    <row r="3987" ht="13.5" customHeight="1">
      <c r="D3987" s="7"/>
      <c r="E3987" s="14" t="s">
        <v>37</v>
      </c>
      <c r="F3987" s="46">
        <f>SUM(F3985:F3986)</f>
        <v>900</v>
      </c>
    </row>
    <row r="3988" ht="13.5" customHeight="1">
      <c r="D3988" s="7"/>
      <c r="E3988" s="9"/>
      <c r="F3988" s="9"/>
    </row>
    <row r="3989" ht="13.5" customHeight="1">
      <c r="A3989" s="14" t="s">
        <v>74</v>
      </c>
      <c r="D3989" s="7"/>
      <c r="E3989" s="9"/>
      <c r="F3989" s="9"/>
    </row>
    <row r="3990" ht="13.5" customHeight="1">
      <c r="A3990" s="18"/>
      <c r="B3990" s="18" t="s">
        <v>17</v>
      </c>
      <c r="C3990" s="18" t="s">
        <v>18</v>
      </c>
      <c r="D3990" s="18" t="s">
        <v>19</v>
      </c>
      <c r="E3990" s="18" t="s">
        <v>20</v>
      </c>
      <c r="F3990" s="18" t="s">
        <v>21</v>
      </c>
    </row>
    <row r="3991" ht="13.5" customHeight="1">
      <c r="D3991" s="7"/>
      <c r="E3991" s="14" t="s">
        <v>77</v>
      </c>
      <c r="F3991" s="46">
        <f>F3973+F3981+F3987</f>
        <v>6274</v>
      </c>
    </row>
    <row r="3992" ht="13.5" customHeight="1">
      <c r="D3992" s="7"/>
      <c r="E3992" s="14" t="s">
        <v>6</v>
      </c>
      <c r="F3992" s="46">
        <f>ROUND(F3991*F3962,0)</f>
        <v>941</v>
      </c>
    </row>
    <row r="3993" ht="13.5" customHeight="1">
      <c r="D3993" s="7"/>
      <c r="E3993" s="14" t="s">
        <v>8</v>
      </c>
      <c r="F3993" s="46">
        <f>ROUND(F3991*F3963,0)</f>
        <v>1255</v>
      </c>
    </row>
    <row r="3994" ht="13.5" customHeight="1">
      <c r="D3994" s="7"/>
      <c r="E3994" s="14" t="s">
        <v>81</v>
      </c>
      <c r="F3994" s="46">
        <f>F3991+F3992+F3993</f>
        <v>8470</v>
      </c>
    </row>
    <row r="3995" ht="13.5" customHeight="1">
      <c r="D3995" s="7"/>
      <c r="E3995" s="14" t="s">
        <v>82</v>
      </c>
      <c r="F3995" s="46">
        <f>ROUND(F3994*F3964,0)</f>
        <v>1609</v>
      </c>
    </row>
    <row r="3996" ht="13.5" customHeight="1">
      <c r="D3996" s="14" t="s">
        <v>608</v>
      </c>
      <c r="E3996" s="18" t="s">
        <v>84</v>
      </c>
      <c r="F3996" s="53">
        <f>F3994+F3995</f>
        <v>10079</v>
      </c>
    </row>
    <row r="3997" ht="13.5" customHeight="1"/>
    <row r="3998" ht="13.5" customHeight="1"/>
    <row r="3999" ht="13.5" customHeight="1"/>
    <row r="4000" ht="13.5" customHeight="1"/>
    <row r="4001" ht="13.5" customHeight="1"/>
    <row r="4002" ht="13.5" customHeight="1"/>
    <row r="4003" ht="13.5" customHeight="1"/>
    <row r="4004" ht="13.5" customHeight="1"/>
    <row r="4005" ht="13.5" customHeight="1">
      <c r="A4005" s="3" t="s">
        <v>1</v>
      </c>
      <c r="B4005" s="5">
        <v>11.0</v>
      </c>
      <c r="C4005" s="3" t="s">
        <v>2</v>
      </c>
      <c r="D4005" s="7"/>
      <c r="E4005" s="3" t="s">
        <v>3</v>
      </c>
      <c r="F4005" s="9"/>
    </row>
    <row r="4006" ht="13.5" customHeight="1">
      <c r="A4006" s="3" t="s">
        <v>4</v>
      </c>
      <c r="B4006" s="5" t="s">
        <v>125</v>
      </c>
      <c r="D4006" s="7"/>
      <c r="E4006" s="3" t="s">
        <v>6</v>
      </c>
      <c r="F4006" s="10">
        <v>0.15</v>
      </c>
    </row>
    <row r="4007" ht="13.5" customHeight="1">
      <c r="D4007" s="7"/>
      <c r="E4007" s="3" t="s">
        <v>8</v>
      </c>
      <c r="F4007" s="10">
        <v>0.2</v>
      </c>
    </row>
    <row r="4008" ht="13.5" customHeight="1">
      <c r="B4008" s="5" t="s">
        <v>623</v>
      </c>
      <c r="D4008" s="7"/>
      <c r="E4008" s="3" t="s">
        <v>10</v>
      </c>
      <c r="F4008" s="10">
        <v>0.19</v>
      </c>
    </row>
    <row r="4009" ht="13.5" customHeight="1">
      <c r="A4009" s="14" t="s">
        <v>11</v>
      </c>
      <c r="D4009" s="7"/>
      <c r="E4009" s="9"/>
      <c r="F4009" s="9"/>
    </row>
    <row r="4010" ht="13.5" customHeight="1">
      <c r="A4010" s="18" t="s">
        <v>15</v>
      </c>
      <c r="B4010" s="18" t="s">
        <v>17</v>
      </c>
      <c r="C4010" s="18" t="s">
        <v>18</v>
      </c>
      <c r="D4010" s="18" t="s">
        <v>19</v>
      </c>
      <c r="E4010" s="18" t="s">
        <v>20</v>
      </c>
      <c r="F4010" s="18" t="s">
        <v>21</v>
      </c>
    </row>
    <row r="4011" ht="13.5" customHeight="1">
      <c r="A4011" s="21" t="s">
        <v>22</v>
      </c>
      <c r="B4011" s="21" t="s">
        <v>624</v>
      </c>
      <c r="C4011" s="21" t="s">
        <v>5</v>
      </c>
      <c r="D4011" s="21">
        <v>1.0</v>
      </c>
      <c r="E4011" s="21">
        <v>28000.0</v>
      </c>
      <c r="F4011" s="33">
        <f t="shared" ref="F4011:F4014" si="191">ROUND(IFERROR(D4011*E4011,0),0)</f>
        <v>28000</v>
      </c>
    </row>
    <row r="4012" ht="13.5" customHeight="1">
      <c r="A4012" s="21" t="s">
        <v>27</v>
      </c>
      <c r="B4012" s="21" t="s">
        <v>625</v>
      </c>
      <c r="C4012" s="21" t="s">
        <v>383</v>
      </c>
      <c r="D4012" s="21">
        <v>6.0</v>
      </c>
      <c r="E4012" s="21">
        <v>120.0</v>
      </c>
      <c r="F4012" s="33">
        <f t="shared" si="191"/>
        <v>720</v>
      </c>
    </row>
    <row r="4013" ht="13.5" customHeight="1">
      <c r="A4013" s="21" t="s">
        <v>32</v>
      </c>
      <c r="B4013" s="21" t="s">
        <v>626</v>
      </c>
      <c r="C4013" s="21" t="s">
        <v>383</v>
      </c>
      <c r="D4013" s="21">
        <v>0.5</v>
      </c>
      <c r="E4013" s="279">
        <v>450.0</v>
      </c>
      <c r="F4013" s="33">
        <f t="shared" si="191"/>
        <v>225</v>
      </c>
    </row>
    <row r="4014" ht="13.5" customHeight="1">
      <c r="A4014" s="21" t="s">
        <v>99</v>
      </c>
      <c r="B4014" s="21" t="s">
        <v>627</v>
      </c>
      <c r="C4014" s="21" t="s">
        <v>621</v>
      </c>
      <c r="D4014" s="21">
        <v>0.02</v>
      </c>
      <c r="E4014" s="279">
        <v>18000.0</v>
      </c>
      <c r="F4014" s="33">
        <f t="shared" si="191"/>
        <v>360</v>
      </c>
    </row>
    <row r="4015" ht="13.5" customHeight="1">
      <c r="A4015" s="21"/>
      <c r="B4015" s="21"/>
      <c r="C4015" s="21"/>
      <c r="D4015" s="21"/>
      <c r="E4015" s="279"/>
      <c r="F4015" s="33"/>
    </row>
    <row r="4016" ht="13.5" customHeight="1">
      <c r="A4016" s="21"/>
      <c r="B4016" s="21"/>
      <c r="C4016" s="21"/>
      <c r="D4016" s="21"/>
      <c r="E4016" s="279"/>
      <c r="F4016" s="33"/>
    </row>
    <row r="4017" ht="13.5" customHeight="1">
      <c r="D4017" s="7"/>
      <c r="E4017" s="14" t="s">
        <v>37</v>
      </c>
      <c r="F4017" s="46">
        <f>SUM(F4011:F4016)</f>
        <v>29305</v>
      </c>
    </row>
    <row r="4018" ht="13.5" customHeight="1">
      <c r="D4018" s="7"/>
      <c r="E4018" s="9"/>
      <c r="F4018" s="9"/>
    </row>
    <row r="4019" ht="13.5" customHeight="1">
      <c r="A4019" s="14" t="s">
        <v>44</v>
      </c>
      <c r="D4019" s="7"/>
      <c r="E4019" s="9"/>
      <c r="F4019" s="9"/>
    </row>
    <row r="4020" ht="13.5" customHeight="1">
      <c r="A4020" s="18" t="s">
        <v>15</v>
      </c>
      <c r="B4020" s="18" t="s">
        <v>17</v>
      </c>
      <c r="C4020" s="18" t="s">
        <v>18</v>
      </c>
      <c r="D4020" s="18" t="s">
        <v>19</v>
      </c>
      <c r="E4020" s="18" t="s">
        <v>20</v>
      </c>
      <c r="F4020" s="18" t="s">
        <v>21</v>
      </c>
    </row>
    <row r="4021" ht="13.5" customHeight="1">
      <c r="A4021" s="21" t="s">
        <v>22</v>
      </c>
      <c r="B4021" s="21" t="s">
        <v>345</v>
      </c>
      <c r="C4021" s="21" t="s">
        <v>51</v>
      </c>
      <c r="D4021" s="187">
        <f>ROUND(1/B4005,2)</f>
        <v>0.09</v>
      </c>
      <c r="E4021" s="21">
        <v>65000.0</v>
      </c>
      <c r="F4021" s="33">
        <f t="shared" ref="F4021:F4022" si="192">ROUND(IFERROR(D4021*E4021,0),0)</f>
        <v>5850</v>
      </c>
    </row>
    <row r="4022" ht="13.5" customHeight="1">
      <c r="A4022" s="21" t="s">
        <v>27</v>
      </c>
      <c r="B4022" s="21" t="s">
        <v>54</v>
      </c>
      <c r="C4022" s="21" t="s">
        <v>51</v>
      </c>
      <c r="D4022" s="187">
        <f>ROUND(1/B4005,2)</f>
        <v>0.09</v>
      </c>
      <c r="E4022" s="21">
        <v>50000.0</v>
      </c>
      <c r="F4022" s="33">
        <f t="shared" si="192"/>
        <v>4500</v>
      </c>
    </row>
    <row r="4023" ht="13.5" customHeight="1">
      <c r="D4023" s="7"/>
      <c r="E4023" s="14" t="s">
        <v>37</v>
      </c>
      <c r="F4023" s="46">
        <f>SUM(F4021:F4022)</f>
        <v>10350</v>
      </c>
    </row>
    <row r="4024" ht="13.5" customHeight="1">
      <c r="D4024" s="7"/>
      <c r="E4024" s="14" t="s">
        <v>59</v>
      </c>
      <c r="F4024" s="46">
        <f>ROUND(F4023*0.5,0)</f>
        <v>5175</v>
      </c>
    </row>
    <row r="4025" ht="13.5" customHeight="1">
      <c r="D4025" s="7"/>
      <c r="E4025" s="14" t="s">
        <v>60</v>
      </c>
      <c r="F4025" s="46">
        <f>F4023+F4024</f>
        <v>15525</v>
      </c>
    </row>
    <row r="4026" ht="13.5" customHeight="1">
      <c r="D4026" s="7"/>
      <c r="E4026" s="9"/>
      <c r="F4026" s="9"/>
    </row>
    <row r="4027" ht="13.5" customHeight="1">
      <c r="A4027" s="14" t="s">
        <v>62</v>
      </c>
      <c r="D4027" s="7"/>
      <c r="E4027" s="9"/>
      <c r="F4027" s="9"/>
    </row>
    <row r="4028" ht="13.5" customHeight="1">
      <c r="A4028" s="18" t="s">
        <v>15</v>
      </c>
      <c r="B4028" s="18" t="s">
        <v>17</v>
      </c>
      <c r="C4028" s="18" t="s">
        <v>18</v>
      </c>
      <c r="D4028" s="18" t="s">
        <v>19</v>
      </c>
      <c r="E4028" s="18" t="s">
        <v>20</v>
      </c>
      <c r="F4028" s="18" t="s">
        <v>21</v>
      </c>
    </row>
    <row r="4029" ht="13.5" customHeight="1">
      <c r="A4029" s="21" t="s">
        <v>22</v>
      </c>
      <c r="B4029" s="21" t="s">
        <v>394</v>
      </c>
      <c r="C4029" s="21" t="s">
        <v>51</v>
      </c>
      <c r="D4029" s="144">
        <f>1/B4005</f>
        <v>0.09090909091</v>
      </c>
      <c r="E4029" s="21">
        <v>45000.0</v>
      </c>
      <c r="F4029" s="33">
        <f>ROUND(IFERROR(D4029*E4029,0),0)</f>
        <v>4091</v>
      </c>
    </row>
    <row r="4030" ht="13.5" customHeight="1">
      <c r="A4030" s="21"/>
      <c r="B4030" s="21"/>
      <c r="C4030" s="21"/>
      <c r="D4030" s="144"/>
      <c r="E4030" s="21"/>
      <c r="F4030" s="33"/>
    </row>
    <row r="4031" ht="13.5" customHeight="1">
      <c r="D4031" s="7"/>
      <c r="E4031" s="14" t="s">
        <v>37</v>
      </c>
      <c r="F4031" s="46">
        <f>SUM(F4029:F4030)</f>
        <v>4091</v>
      </c>
    </row>
    <row r="4032" ht="13.5" customHeight="1">
      <c r="D4032" s="7"/>
      <c r="E4032" s="9"/>
      <c r="F4032" s="9"/>
    </row>
    <row r="4033" ht="13.5" customHeight="1">
      <c r="A4033" s="14" t="s">
        <v>74</v>
      </c>
      <c r="D4033" s="7"/>
      <c r="E4033" s="9"/>
      <c r="F4033" s="9"/>
    </row>
    <row r="4034" ht="13.5" customHeight="1">
      <c r="A4034" s="18"/>
      <c r="B4034" s="18" t="s">
        <v>17</v>
      </c>
      <c r="C4034" s="18" t="s">
        <v>18</v>
      </c>
      <c r="D4034" s="18" t="s">
        <v>19</v>
      </c>
      <c r="E4034" s="18" t="s">
        <v>20</v>
      </c>
      <c r="F4034" s="18" t="s">
        <v>21</v>
      </c>
    </row>
    <row r="4035" ht="13.5" customHeight="1">
      <c r="D4035" s="7"/>
      <c r="E4035" s="14" t="s">
        <v>77</v>
      </c>
      <c r="F4035" s="46">
        <f>F4017+F4025+F4031</f>
        <v>48921</v>
      </c>
    </row>
    <row r="4036" ht="13.5" customHeight="1">
      <c r="D4036" s="7"/>
      <c r="E4036" s="14" t="s">
        <v>6</v>
      </c>
      <c r="F4036" s="46">
        <f>ROUND(F4035*F4006,0)</f>
        <v>7338</v>
      </c>
    </row>
    <row r="4037" ht="13.5" customHeight="1">
      <c r="D4037" s="7"/>
      <c r="E4037" s="14" t="s">
        <v>8</v>
      </c>
      <c r="F4037" s="46">
        <f>ROUND(F4035*F4007,0)</f>
        <v>9784</v>
      </c>
    </row>
    <row r="4038" ht="13.5" customHeight="1">
      <c r="D4038" s="7"/>
      <c r="E4038" s="14" t="s">
        <v>81</v>
      </c>
      <c r="F4038" s="46">
        <f>F4035+F4036+F4037</f>
        <v>66043</v>
      </c>
    </row>
    <row r="4039" ht="13.5" customHeight="1">
      <c r="D4039" s="7"/>
      <c r="E4039" s="14" t="s">
        <v>82</v>
      </c>
      <c r="F4039" s="46">
        <f>ROUND(F4038*F4008,0)</f>
        <v>12548</v>
      </c>
    </row>
    <row r="4040" ht="13.5" customHeight="1">
      <c r="D4040" s="14" t="s">
        <v>608</v>
      </c>
      <c r="E4040" s="18" t="s">
        <v>84</v>
      </c>
      <c r="F4040" s="53">
        <f>F4038+F4039</f>
        <v>78591</v>
      </c>
    </row>
    <row r="4041" ht="13.5" customHeight="1"/>
    <row r="4042" ht="13.5" customHeight="1"/>
    <row r="4043" ht="13.5" customHeight="1"/>
    <row r="4044" ht="13.5" customHeight="1"/>
    <row r="4045" ht="13.5" customHeight="1"/>
    <row r="4046" ht="13.5" customHeight="1"/>
    <row r="4047" ht="13.5" customHeight="1"/>
    <row r="4048" ht="13.5" customHeight="1"/>
    <row r="4049" ht="13.5" customHeight="1">
      <c r="A4049" s="3" t="s">
        <v>1</v>
      </c>
      <c r="B4049" s="5">
        <v>11.0</v>
      </c>
      <c r="C4049" s="3" t="s">
        <v>2</v>
      </c>
      <c r="D4049" s="7"/>
      <c r="E4049" s="3" t="s">
        <v>3</v>
      </c>
      <c r="F4049" s="9"/>
    </row>
    <row r="4050" ht="13.5" customHeight="1">
      <c r="A4050" s="3" t="s">
        <v>4</v>
      </c>
      <c r="B4050" s="5" t="s">
        <v>125</v>
      </c>
      <c r="D4050" s="7"/>
      <c r="E4050" s="3" t="s">
        <v>6</v>
      </c>
      <c r="F4050" s="10">
        <v>0.15</v>
      </c>
    </row>
    <row r="4051" ht="13.5" customHeight="1">
      <c r="D4051" s="7"/>
      <c r="E4051" s="3" t="s">
        <v>8</v>
      </c>
      <c r="F4051" s="10">
        <v>0.2</v>
      </c>
    </row>
    <row r="4052" ht="13.5" customHeight="1">
      <c r="B4052" s="5" t="s">
        <v>628</v>
      </c>
      <c r="D4052" s="7"/>
      <c r="E4052" s="3" t="s">
        <v>10</v>
      </c>
      <c r="F4052" s="10">
        <v>0.19</v>
      </c>
    </row>
    <row r="4053" ht="13.5" customHeight="1">
      <c r="A4053" s="14" t="s">
        <v>11</v>
      </c>
      <c r="D4053" s="7"/>
      <c r="E4053" s="9"/>
      <c r="F4053" s="9"/>
    </row>
    <row r="4054" ht="13.5" customHeight="1">
      <c r="A4054" s="18" t="s">
        <v>15</v>
      </c>
      <c r="B4054" s="18" t="s">
        <v>17</v>
      </c>
      <c r="C4054" s="18" t="s">
        <v>18</v>
      </c>
      <c r="D4054" s="18" t="s">
        <v>19</v>
      </c>
      <c r="E4054" s="18" t="s">
        <v>20</v>
      </c>
      <c r="F4054" s="18" t="s">
        <v>21</v>
      </c>
    </row>
    <row r="4055" ht="13.5" customHeight="1">
      <c r="A4055" s="21" t="s">
        <v>22</v>
      </c>
      <c r="B4055" s="21" t="s">
        <v>629</v>
      </c>
      <c r="C4055" s="21" t="s">
        <v>5</v>
      </c>
      <c r="D4055" s="21">
        <v>1.0</v>
      </c>
      <c r="E4055" s="21">
        <v>28000.0</v>
      </c>
      <c r="F4055" s="33">
        <f t="shared" ref="F4055:F4058" si="193">ROUND(IFERROR(D4055*E4055,0),0)</f>
        <v>28000</v>
      </c>
    </row>
    <row r="4056" ht="13.5" customHeight="1">
      <c r="A4056" s="21" t="s">
        <v>27</v>
      </c>
      <c r="B4056" s="21" t="s">
        <v>625</v>
      </c>
      <c r="C4056" s="21" t="s">
        <v>383</v>
      </c>
      <c r="D4056" s="21">
        <v>6.0</v>
      </c>
      <c r="E4056" s="21">
        <v>120.0</v>
      </c>
      <c r="F4056" s="33">
        <f t="shared" si="193"/>
        <v>720</v>
      </c>
    </row>
    <row r="4057" ht="13.5" customHeight="1">
      <c r="A4057" s="21" t="s">
        <v>32</v>
      </c>
      <c r="B4057" s="21" t="s">
        <v>626</v>
      </c>
      <c r="C4057" s="21" t="s">
        <v>383</v>
      </c>
      <c r="D4057" s="21">
        <v>0.5</v>
      </c>
      <c r="E4057" s="279">
        <v>450.0</v>
      </c>
      <c r="F4057" s="33">
        <f t="shared" si="193"/>
        <v>225</v>
      </c>
    </row>
    <row r="4058" ht="13.5" customHeight="1">
      <c r="A4058" s="21" t="s">
        <v>99</v>
      </c>
      <c r="B4058" s="21" t="s">
        <v>627</v>
      </c>
      <c r="C4058" s="21" t="s">
        <v>621</v>
      </c>
      <c r="D4058" s="21">
        <v>0.02</v>
      </c>
      <c r="E4058" s="279">
        <v>18000.0</v>
      </c>
      <c r="F4058" s="33">
        <f t="shared" si="193"/>
        <v>360</v>
      </c>
    </row>
    <row r="4059" ht="13.5" customHeight="1">
      <c r="A4059" s="21"/>
      <c r="B4059" s="21"/>
      <c r="C4059" s="21"/>
      <c r="D4059" s="21"/>
      <c r="E4059" s="279"/>
      <c r="F4059" s="33"/>
    </row>
    <row r="4060" ht="13.5" customHeight="1">
      <c r="A4060" s="21"/>
      <c r="B4060" s="21"/>
      <c r="C4060" s="21"/>
      <c r="D4060" s="21"/>
      <c r="E4060" s="279"/>
      <c r="F4060" s="33"/>
    </row>
    <row r="4061" ht="13.5" customHeight="1">
      <c r="D4061" s="7"/>
      <c r="E4061" s="14" t="s">
        <v>37</v>
      </c>
      <c r="F4061" s="46">
        <f>SUM(F4055:F4060)</f>
        <v>29305</v>
      </c>
    </row>
    <row r="4062" ht="13.5" customHeight="1">
      <c r="D4062" s="7"/>
      <c r="E4062" s="9"/>
      <c r="F4062" s="9"/>
    </row>
    <row r="4063" ht="13.5" customHeight="1">
      <c r="A4063" s="14" t="s">
        <v>44</v>
      </c>
      <c r="D4063" s="7"/>
      <c r="E4063" s="9"/>
      <c r="F4063" s="9"/>
    </row>
    <row r="4064" ht="13.5" customHeight="1">
      <c r="A4064" s="18" t="s">
        <v>15</v>
      </c>
      <c r="B4064" s="18" t="s">
        <v>17</v>
      </c>
      <c r="C4064" s="18" t="s">
        <v>18</v>
      </c>
      <c r="D4064" s="18" t="s">
        <v>19</v>
      </c>
      <c r="E4064" s="18" t="s">
        <v>20</v>
      </c>
      <c r="F4064" s="18" t="s">
        <v>21</v>
      </c>
    </row>
    <row r="4065" ht="13.5" customHeight="1">
      <c r="A4065" s="21" t="s">
        <v>22</v>
      </c>
      <c r="B4065" s="21" t="s">
        <v>345</v>
      </c>
      <c r="C4065" s="21" t="s">
        <v>51</v>
      </c>
      <c r="D4065" s="187">
        <f>ROUND(1/B4049,2)</f>
        <v>0.09</v>
      </c>
      <c r="E4065" s="21">
        <v>65000.0</v>
      </c>
      <c r="F4065" s="33">
        <f t="shared" ref="F4065:F4066" si="194">ROUND(IFERROR(D4065*E4065,0),0)</f>
        <v>5850</v>
      </c>
    </row>
    <row r="4066" ht="13.5" customHeight="1">
      <c r="A4066" s="21" t="s">
        <v>27</v>
      </c>
      <c r="B4066" s="21" t="s">
        <v>54</v>
      </c>
      <c r="C4066" s="21" t="s">
        <v>51</v>
      </c>
      <c r="D4066" s="187">
        <f>ROUND(1/B4049,2)</f>
        <v>0.09</v>
      </c>
      <c r="E4066" s="21">
        <v>50000.0</v>
      </c>
      <c r="F4066" s="33">
        <f t="shared" si="194"/>
        <v>4500</v>
      </c>
    </row>
    <row r="4067" ht="13.5" customHeight="1">
      <c r="D4067" s="7"/>
      <c r="E4067" s="14" t="s">
        <v>37</v>
      </c>
      <c r="F4067" s="46">
        <f>SUM(F4065:F4066)</f>
        <v>10350</v>
      </c>
    </row>
    <row r="4068" ht="13.5" customHeight="1">
      <c r="D4068" s="7"/>
      <c r="E4068" s="14" t="s">
        <v>59</v>
      </c>
      <c r="F4068" s="46">
        <f>F4067*0.5</f>
        <v>5175</v>
      </c>
    </row>
    <row r="4069" ht="13.5" customHeight="1">
      <c r="D4069" s="7"/>
      <c r="E4069" s="14" t="s">
        <v>60</v>
      </c>
      <c r="F4069" s="46">
        <f>F4067+F4068</f>
        <v>15525</v>
      </c>
    </row>
    <row r="4070" ht="13.5" customHeight="1">
      <c r="D4070" s="7"/>
      <c r="E4070" s="9"/>
      <c r="F4070" s="9"/>
    </row>
    <row r="4071" ht="13.5" customHeight="1">
      <c r="A4071" s="14" t="s">
        <v>62</v>
      </c>
      <c r="D4071" s="7"/>
      <c r="E4071" s="9"/>
      <c r="F4071" s="9"/>
    </row>
    <row r="4072" ht="13.5" customHeight="1">
      <c r="A4072" s="18" t="s">
        <v>15</v>
      </c>
      <c r="B4072" s="18" t="s">
        <v>17</v>
      </c>
      <c r="C4072" s="18" t="s">
        <v>18</v>
      </c>
      <c r="D4072" s="18" t="s">
        <v>19</v>
      </c>
      <c r="E4072" s="18" t="s">
        <v>20</v>
      </c>
      <c r="F4072" s="18" t="s">
        <v>21</v>
      </c>
    </row>
    <row r="4073" ht="13.5" customHeight="1">
      <c r="A4073" s="21" t="s">
        <v>22</v>
      </c>
      <c r="B4073" s="21" t="s">
        <v>394</v>
      </c>
      <c r="C4073" s="21" t="s">
        <v>51</v>
      </c>
      <c r="D4073" s="144">
        <f>ROUND(1/B4049,2)</f>
        <v>0.09</v>
      </c>
      <c r="E4073" s="21">
        <v>45000.0</v>
      </c>
      <c r="F4073" s="33">
        <f>ROUND(IFERROR(D4073*E4073,0),0)</f>
        <v>4050</v>
      </c>
    </row>
    <row r="4074" ht="13.5" customHeight="1">
      <c r="A4074" s="21"/>
      <c r="B4074" s="21"/>
      <c r="C4074" s="21"/>
      <c r="D4074" s="144"/>
      <c r="E4074" s="21"/>
      <c r="F4074" s="33"/>
    </row>
    <row r="4075" ht="13.5" customHeight="1">
      <c r="D4075" s="7"/>
      <c r="E4075" s="14" t="s">
        <v>37</v>
      </c>
      <c r="F4075" s="46">
        <f>SUM(F4073:F4074)</f>
        <v>4050</v>
      </c>
    </row>
    <row r="4076" ht="13.5" customHeight="1">
      <c r="D4076" s="7"/>
      <c r="E4076" s="9"/>
      <c r="F4076" s="9"/>
    </row>
    <row r="4077" ht="13.5" customHeight="1">
      <c r="A4077" s="14" t="s">
        <v>74</v>
      </c>
      <c r="D4077" s="7"/>
      <c r="E4077" s="9"/>
      <c r="F4077" s="9"/>
    </row>
    <row r="4078" ht="13.5" customHeight="1">
      <c r="A4078" s="18"/>
      <c r="B4078" s="18" t="s">
        <v>17</v>
      </c>
      <c r="C4078" s="18" t="s">
        <v>18</v>
      </c>
      <c r="D4078" s="18" t="s">
        <v>19</v>
      </c>
      <c r="E4078" s="18" t="s">
        <v>20</v>
      </c>
      <c r="F4078" s="18" t="s">
        <v>21</v>
      </c>
    </row>
    <row r="4079" ht="13.5" customHeight="1">
      <c r="D4079" s="7"/>
      <c r="E4079" s="14" t="s">
        <v>77</v>
      </c>
      <c r="F4079" s="46">
        <f>F4061+F4069+F4075</f>
        <v>48880</v>
      </c>
    </row>
    <row r="4080" ht="13.5" customHeight="1">
      <c r="D4080" s="7"/>
      <c r="E4080" s="14" t="s">
        <v>6</v>
      </c>
      <c r="F4080" s="46">
        <f>ROUND(F4079*F4050,0)</f>
        <v>7332</v>
      </c>
    </row>
    <row r="4081" ht="13.5" customHeight="1">
      <c r="D4081" s="7"/>
      <c r="E4081" s="14" t="s">
        <v>8</v>
      </c>
      <c r="F4081" s="46">
        <f>ROUND(F4079*F4051,0)</f>
        <v>9776</v>
      </c>
    </row>
    <row r="4082" ht="13.5" customHeight="1">
      <c r="D4082" s="7"/>
      <c r="E4082" s="14" t="s">
        <v>81</v>
      </c>
      <c r="F4082" s="46">
        <f>F4079+F4080+F4081</f>
        <v>65988</v>
      </c>
    </row>
    <row r="4083" ht="13.5" customHeight="1">
      <c r="D4083" s="7"/>
      <c r="E4083" s="14" t="s">
        <v>82</v>
      </c>
      <c r="F4083" s="46">
        <f>ROUND(F4082*F4052,0)</f>
        <v>12538</v>
      </c>
    </row>
    <row r="4084" ht="13.5" customHeight="1">
      <c r="D4084" s="14" t="s">
        <v>608</v>
      </c>
      <c r="E4084" s="18" t="s">
        <v>84</v>
      </c>
      <c r="F4084" s="53">
        <f>F4082+F4083</f>
        <v>78526</v>
      </c>
    </row>
    <row r="4085" ht="13.5" customHeight="1"/>
    <row r="4086" ht="13.5" customHeight="1"/>
    <row r="4087" ht="13.5" customHeight="1"/>
    <row r="4088" ht="13.5" customHeight="1"/>
    <row r="4089" ht="13.5" customHeight="1"/>
    <row r="4090" ht="13.5" customHeight="1"/>
    <row r="4091" ht="13.5" customHeight="1"/>
    <row r="4092" ht="13.5" customHeight="1"/>
    <row r="4093" ht="13.5" customHeight="1">
      <c r="A4093" s="3" t="s">
        <v>1</v>
      </c>
      <c r="B4093" s="5">
        <v>18.0</v>
      </c>
      <c r="C4093" s="3" t="s">
        <v>2</v>
      </c>
      <c r="D4093" s="7"/>
      <c r="E4093" s="3" t="s">
        <v>3</v>
      </c>
      <c r="F4093" s="9"/>
    </row>
    <row r="4094" ht="13.5" customHeight="1">
      <c r="A4094" s="3" t="s">
        <v>4</v>
      </c>
      <c r="B4094" s="5" t="s">
        <v>142</v>
      </c>
      <c r="D4094" s="7"/>
      <c r="E4094" s="3" t="s">
        <v>6</v>
      </c>
      <c r="F4094" s="10">
        <v>0.15</v>
      </c>
    </row>
    <row r="4095" ht="13.5" customHeight="1">
      <c r="D4095" s="7"/>
      <c r="E4095" s="3" t="s">
        <v>8</v>
      </c>
      <c r="F4095" s="10">
        <v>0.2</v>
      </c>
    </row>
    <row r="4096" ht="13.5" customHeight="1">
      <c r="B4096" s="5" t="s">
        <v>630</v>
      </c>
      <c r="D4096" s="7"/>
      <c r="E4096" s="3" t="s">
        <v>10</v>
      </c>
      <c r="F4096" s="10">
        <v>0.19</v>
      </c>
    </row>
    <row r="4097" ht="13.5" customHeight="1">
      <c r="A4097" s="14" t="s">
        <v>11</v>
      </c>
      <c r="D4097" s="7"/>
      <c r="E4097" s="9"/>
      <c r="F4097" s="9"/>
    </row>
    <row r="4098" ht="13.5" customHeight="1">
      <c r="A4098" s="18" t="s">
        <v>15</v>
      </c>
      <c r="B4098" s="18" t="s">
        <v>17</v>
      </c>
      <c r="C4098" s="18" t="s">
        <v>18</v>
      </c>
      <c r="D4098" s="18" t="s">
        <v>19</v>
      </c>
      <c r="E4098" s="18" t="s">
        <v>20</v>
      </c>
      <c r="F4098" s="18" t="s">
        <v>21</v>
      </c>
    </row>
    <row r="4099" ht="13.5" customHeight="1">
      <c r="A4099" s="21" t="s">
        <v>22</v>
      </c>
      <c r="B4099" s="21" t="s">
        <v>631</v>
      </c>
      <c r="C4099" s="21" t="s">
        <v>34</v>
      </c>
      <c r="D4099" s="21">
        <v>1.0</v>
      </c>
      <c r="E4099" s="21">
        <v>1500.0</v>
      </c>
      <c r="F4099" s="33">
        <f t="shared" ref="F4099:F4100" si="195">ROUND(IFERROR(D4099*E4099,0),0)</f>
        <v>1500</v>
      </c>
    </row>
    <row r="4100" ht="13.5" customHeight="1">
      <c r="A4100" s="21" t="s">
        <v>27</v>
      </c>
      <c r="B4100" s="21" t="s">
        <v>622</v>
      </c>
      <c r="C4100" s="21" t="s">
        <v>51</v>
      </c>
      <c r="D4100" s="21">
        <v>0.01</v>
      </c>
      <c r="E4100" s="21">
        <v>3200.0</v>
      </c>
      <c r="F4100" s="33">
        <f t="shared" si="195"/>
        <v>32</v>
      </c>
    </row>
    <row r="4101" ht="13.5" customHeight="1">
      <c r="A4101" s="21" t="s">
        <v>32</v>
      </c>
      <c r="B4101" s="21"/>
      <c r="C4101" s="21"/>
      <c r="D4101" s="21"/>
      <c r="E4101" s="279"/>
      <c r="F4101" s="33"/>
    </row>
    <row r="4102" ht="13.5" customHeight="1">
      <c r="A4102" s="21" t="s">
        <v>99</v>
      </c>
      <c r="B4102" s="21"/>
      <c r="C4102" s="21"/>
      <c r="D4102" s="21"/>
      <c r="E4102" s="279"/>
      <c r="F4102" s="33"/>
    </row>
    <row r="4103" ht="13.5" customHeight="1">
      <c r="A4103" s="21"/>
      <c r="B4103" s="21"/>
      <c r="C4103" s="21"/>
      <c r="D4103" s="21"/>
      <c r="E4103" s="279"/>
      <c r="F4103" s="33"/>
    </row>
    <row r="4104" ht="13.5" customHeight="1">
      <c r="A4104" s="21"/>
      <c r="B4104" s="21"/>
      <c r="C4104" s="21"/>
      <c r="D4104" s="21"/>
      <c r="E4104" s="279"/>
      <c r="F4104" s="33"/>
    </row>
    <row r="4105" ht="13.5" customHeight="1">
      <c r="D4105" s="7"/>
      <c r="E4105" s="14" t="s">
        <v>37</v>
      </c>
      <c r="F4105" s="46">
        <f>SUM(F4099:F4104)</f>
        <v>1532</v>
      </c>
    </row>
    <row r="4106" ht="13.5" customHeight="1">
      <c r="D4106" s="7"/>
      <c r="E4106" s="9"/>
      <c r="F4106" s="9"/>
    </row>
    <row r="4107" ht="13.5" customHeight="1">
      <c r="A4107" s="14" t="s">
        <v>44</v>
      </c>
      <c r="D4107" s="7"/>
      <c r="E4107" s="9"/>
      <c r="F4107" s="9"/>
    </row>
    <row r="4108" ht="13.5" customHeight="1">
      <c r="A4108" s="18" t="s">
        <v>15</v>
      </c>
      <c r="B4108" s="18" t="s">
        <v>17</v>
      </c>
      <c r="C4108" s="18" t="s">
        <v>18</v>
      </c>
      <c r="D4108" s="18" t="s">
        <v>19</v>
      </c>
      <c r="E4108" s="18" t="s">
        <v>20</v>
      </c>
      <c r="F4108" s="18" t="s">
        <v>21</v>
      </c>
    </row>
    <row r="4109" ht="13.5" customHeight="1">
      <c r="A4109" s="21" t="s">
        <v>22</v>
      </c>
      <c r="B4109" s="21" t="s">
        <v>345</v>
      </c>
      <c r="C4109" s="21" t="s">
        <v>51</v>
      </c>
      <c r="D4109" s="187">
        <f>ROUND(1/B4093,2)</f>
        <v>0.06</v>
      </c>
      <c r="E4109" s="21">
        <v>65000.0</v>
      </c>
      <c r="F4109" s="33">
        <f t="shared" ref="F4109:F4110" si="196">ROUND(IFERROR(D4109*E4109,0),0)</f>
        <v>3900</v>
      </c>
    </row>
    <row r="4110" ht="13.5" customHeight="1">
      <c r="A4110" s="21" t="s">
        <v>27</v>
      </c>
      <c r="B4110" s="21" t="s">
        <v>54</v>
      </c>
      <c r="C4110" s="21" t="s">
        <v>51</v>
      </c>
      <c r="D4110" s="187">
        <f>ROUND(1/B4093,2)</f>
        <v>0.06</v>
      </c>
      <c r="E4110" s="21">
        <v>50000.0</v>
      </c>
      <c r="F4110" s="33">
        <f t="shared" si="196"/>
        <v>3000</v>
      </c>
    </row>
    <row r="4111" ht="13.5" customHeight="1">
      <c r="D4111" s="7"/>
      <c r="E4111" s="14" t="s">
        <v>37</v>
      </c>
      <c r="F4111" s="46">
        <f>SUM(F4109:F4110)</f>
        <v>6900</v>
      </c>
    </row>
    <row r="4112" ht="13.5" customHeight="1">
      <c r="D4112" s="7"/>
      <c r="E4112" s="14" t="s">
        <v>59</v>
      </c>
      <c r="F4112" s="46">
        <f>ROUND(F4111*0.5,0)</f>
        <v>3450</v>
      </c>
    </row>
    <row r="4113" ht="13.5" customHeight="1">
      <c r="D4113" s="7"/>
      <c r="E4113" s="14" t="s">
        <v>60</v>
      </c>
      <c r="F4113" s="46">
        <f>F4111+F4112</f>
        <v>10350</v>
      </c>
    </row>
    <row r="4114" ht="13.5" customHeight="1">
      <c r="D4114" s="7"/>
      <c r="E4114" s="9"/>
      <c r="F4114" s="9"/>
    </row>
    <row r="4115" ht="13.5" customHeight="1">
      <c r="A4115" s="14" t="s">
        <v>62</v>
      </c>
      <c r="D4115" s="7"/>
      <c r="E4115" s="9"/>
      <c r="F4115" s="9"/>
    </row>
    <row r="4116" ht="13.5" customHeight="1">
      <c r="A4116" s="18" t="s">
        <v>15</v>
      </c>
      <c r="B4116" s="18" t="s">
        <v>17</v>
      </c>
      <c r="C4116" s="18" t="s">
        <v>18</v>
      </c>
      <c r="D4116" s="18" t="s">
        <v>19</v>
      </c>
      <c r="E4116" s="18" t="s">
        <v>20</v>
      </c>
      <c r="F4116" s="18" t="s">
        <v>21</v>
      </c>
    </row>
    <row r="4117" ht="13.5" customHeight="1">
      <c r="A4117" s="21" t="s">
        <v>22</v>
      </c>
      <c r="B4117" s="21" t="s">
        <v>394</v>
      </c>
      <c r="C4117" s="21" t="s">
        <v>51</v>
      </c>
      <c r="D4117" s="144">
        <f>ROUND(1/B4093,2)</f>
        <v>0.06</v>
      </c>
      <c r="E4117" s="21">
        <v>45000.0</v>
      </c>
      <c r="F4117" s="33">
        <f>ROUND(IFERROR(D4117*E4117,0),0)</f>
        <v>2700</v>
      </c>
    </row>
    <row r="4118" ht="13.5" customHeight="1">
      <c r="A4118" s="21"/>
      <c r="B4118" s="21"/>
      <c r="C4118" s="21"/>
      <c r="D4118" s="144"/>
      <c r="E4118" s="21"/>
      <c r="F4118" s="33"/>
    </row>
    <row r="4119" ht="13.5" customHeight="1">
      <c r="D4119" s="7"/>
      <c r="E4119" s="14" t="s">
        <v>37</v>
      </c>
      <c r="F4119" s="46">
        <f>SUM(F4117:F4118)</f>
        <v>2700</v>
      </c>
    </row>
    <row r="4120" ht="13.5" customHeight="1">
      <c r="D4120" s="7"/>
      <c r="E4120" s="9"/>
      <c r="F4120" s="9"/>
    </row>
    <row r="4121" ht="13.5" customHeight="1">
      <c r="A4121" s="14" t="s">
        <v>74</v>
      </c>
      <c r="D4121" s="7"/>
      <c r="E4121" s="9"/>
      <c r="F4121" s="9"/>
    </row>
    <row r="4122" ht="13.5" customHeight="1">
      <c r="A4122" s="18"/>
      <c r="B4122" s="18" t="s">
        <v>17</v>
      </c>
      <c r="C4122" s="18" t="s">
        <v>18</v>
      </c>
      <c r="D4122" s="18" t="s">
        <v>19</v>
      </c>
      <c r="E4122" s="18" t="s">
        <v>20</v>
      </c>
      <c r="F4122" s="18" t="s">
        <v>21</v>
      </c>
    </row>
    <row r="4123" ht="13.5" customHeight="1">
      <c r="D4123" s="7"/>
      <c r="E4123" s="14" t="s">
        <v>77</v>
      </c>
      <c r="F4123" s="46">
        <f>F4105+F4113+F4119</f>
        <v>14582</v>
      </c>
    </row>
    <row r="4124" ht="13.5" customHeight="1">
      <c r="D4124" s="7"/>
      <c r="E4124" s="14" t="s">
        <v>6</v>
      </c>
      <c r="F4124" s="46">
        <f>ROUND(F4123*F4094,0)</f>
        <v>2187</v>
      </c>
    </row>
    <row r="4125" ht="13.5" customHeight="1">
      <c r="D4125" s="7"/>
      <c r="E4125" s="14" t="s">
        <v>8</v>
      </c>
      <c r="F4125" s="46">
        <f>ROUND(F4123*F4095,0)</f>
        <v>2916</v>
      </c>
    </row>
    <row r="4126" ht="13.5" customHeight="1">
      <c r="D4126" s="7"/>
      <c r="E4126" s="14" t="s">
        <v>81</v>
      </c>
      <c r="F4126" s="46">
        <f>F4123+F4124+F4125</f>
        <v>19685</v>
      </c>
    </row>
    <row r="4127" ht="13.5" customHeight="1">
      <c r="D4127" s="7"/>
      <c r="E4127" s="14" t="s">
        <v>82</v>
      </c>
      <c r="F4127" s="46">
        <f>ROUND(F4126*F4096,0)</f>
        <v>3740</v>
      </c>
    </row>
    <row r="4128" ht="13.5" customHeight="1">
      <c r="D4128" s="14" t="s">
        <v>254</v>
      </c>
      <c r="E4128" s="18" t="s">
        <v>84</v>
      </c>
      <c r="F4128" s="53">
        <f>F4126+F4127</f>
        <v>23425</v>
      </c>
    </row>
    <row r="4129" ht="13.5" customHeight="1"/>
    <row r="4130" ht="13.5" customHeight="1"/>
    <row r="4131" ht="13.5" customHeight="1"/>
    <row r="4132" ht="13.5" customHeight="1"/>
    <row r="4133" ht="13.5" customHeight="1"/>
    <row r="4134" ht="13.5" customHeight="1"/>
    <row r="4135" ht="13.5" customHeight="1"/>
    <row r="4136" ht="13.5" customHeight="1"/>
    <row r="4137" ht="13.5" customHeight="1">
      <c r="A4137" s="3" t="s">
        <v>1</v>
      </c>
      <c r="B4137" s="5">
        <v>5.0</v>
      </c>
      <c r="C4137" s="3" t="s">
        <v>2</v>
      </c>
      <c r="D4137" s="7"/>
      <c r="E4137" s="3" t="s">
        <v>3</v>
      </c>
      <c r="F4137" s="9"/>
    </row>
    <row r="4138" ht="13.5" customHeight="1">
      <c r="A4138" s="3" t="s">
        <v>4</v>
      </c>
      <c r="B4138" s="5" t="s">
        <v>142</v>
      </c>
      <c r="D4138" s="7"/>
      <c r="E4138" s="3" t="s">
        <v>6</v>
      </c>
      <c r="F4138" s="10">
        <v>0.15</v>
      </c>
    </row>
    <row r="4139" ht="13.5" customHeight="1">
      <c r="D4139" s="7"/>
      <c r="E4139" s="3" t="s">
        <v>8</v>
      </c>
      <c r="F4139" s="10">
        <v>0.2</v>
      </c>
    </row>
    <row r="4140" ht="13.5" customHeight="1">
      <c r="B4140" s="5" t="s">
        <v>632</v>
      </c>
      <c r="D4140" s="7"/>
      <c r="E4140" s="3" t="s">
        <v>10</v>
      </c>
      <c r="F4140" s="10">
        <v>0.19</v>
      </c>
    </row>
    <row r="4141" ht="13.5" customHeight="1">
      <c r="A4141" s="14" t="s">
        <v>11</v>
      </c>
      <c r="D4141" s="7"/>
      <c r="E4141" s="9"/>
      <c r="F4141" s="9"/>
    </row>
    <row r="4142" ht="13.5" customHeight="1">
      <c r="A4142" s="18" t="s">
        <v>15</v>
      </c>
      <c r="B4142" s="18" t="s">
        <v>17</v>
      </c>
      <c r="C4142" s="18" t="s">
        <v>18</v>
      </c>
      <c r="D4142" s="18" t="s">
        <v>19</v>
      </c>
      <c r="E4142" s="18" t="s">
        <v>20</v>
      </c>
      <c r="F4142" s="18" t="s">
        <v>21</v>
      </c>
    </row>
    <row r="4143" ht="13.5" customHeight="1">
      <c r="A4143" s="21" t="s">
        <v>22</v>
      </c>
      <c r="B4143" s="21" t="s">
        <v>633</v>
      </c>
      <c r="C4143" s="21" t="s">
        <v>142</v>
      </c>
      <c r="D4143" s="21">
        <v>1.0</v>
      </c>
      <c r="E4143" s="21">
        <v>134000.0</v>
      </c>
      <c r="F4143" s="33">
        <f t="shared" ref="F4143:F4145" si="197">ROUND(IFERROR(D4143*E4143,0),0)</f>
        <v>134000</v>
      </c>
    </row>
    <row r="4144" ht="13.5" customHeight="1">
      <c r="A4144" s="21" t="s">
        <v>27</v>
      </c>
      <c r="B4144" s="21" t="s">
        <v>634</v>
      </c>
      <c r="C4144" s="21" t="s">
        <v>34</v>
      </c>
      <c r="D4144" s="21">
        <v>1.0</v>
      </c>
      <c r="E4144" s="21">
        <v>2500.0</v>
      </c>
      <c r="F4144" s="33">
        <f t="shared" si="197"/>
        <v>2500</v>
      </c>
    </row>
    <row r="4145" ht="13.5" customHeight="1">
      <c r="A4145" s="21" t="s">
        <v>32</v>
      </c>
      <c r="B4145" s="21" t="s">
        <v>635</v>
      </c>
      <c r="C4145" s="21" t="s">
        <v>439</v>
      </c>
      <c r="D4145" s="21">
        <v>0.05</v>
      </c>
      <c r="E4145" s="279">
        <v>6500.0</v>
      </c>
      <c r="F4145" s="33">
        <f t="shared" si="197"/>
        <v>325</v>
      </c>
    </row>
    <row r="4146" ht="13.5" customHeight="1">
      <c r="A4146" s="21" t="s">
        <v>99</v>
      </c>
      <c r="B4146" s="21"/>
      <c r="C4146" s="21"/>
      <c r="D4146" s="21"/>
      <c r="E4146" s="279"/>
      <c r="F4146" s="33"/>
    </row>
    <row r="4147" ht="13.5" customHeight="1">
      <c r="A4147" s="21"/>
      <c r="B4147" s="21"/>
      <c r="C4147" s="21"/>
      <c r="D4147" s="21"/>
      <c r="E4147" s="279"/>
      <c r="F4147" s="33"/>
    </row>
    <row r="4148" ht="13.5" customHeight="1">
      <c r="A4148" s="21"/>
      <c r="B4148" s="21"/>
      <c r="C4148" s="21"/>
      <c r="D4148" s="21"/>
      <c r="E4148" s="279"/>
      <c r="F4148" s="33"/>
    </row>
    <row r="4149" ht="13.5" customHeight="1">
      <c r="D4149" s="7"/>
      <c r="E4149" s="14" t="s">
        <v>37</v>
      </c>
      <c r="F4149" s="46">
        <f>SUM(F4143:F4148)</f>
        <v>136825</v>
      </c>
    </row>
    <row r="4150" ht="13.5" customHeight="1">
      <c r="D4150" s="7"/>
      <c r="E4150" s="9"/>
      <c r="F4150" s="9"/>
    </row>
    <row r="4151" ht="13.5" customHeight="1">
      <c r="A4151" s="14" t="s">
        <v>44</v>
      </c>
      <c r="D4151" s="7"/>
      <c r="E4151" s="9"/>
      <c r="F4151" s="9"/>
    </row>
    <row r="4152" ht="13.5" customHeight="1">
      <c r="A4152" s="18" t="s">
        <v>15</v>
      </c>
      <c r="B4152" s="18" t="s">
        <v>17</v>
      </c>
      <c r="C4152" s="18" t="s">
        <v>18</v>
      </c>
      <c r="D4152" s="18" t="s">
        <v>19</v>
      </c>
      <c r="E4152" s="18" t="s">
        <v>20</v>
      </c>
      <c r="F4152" s="18" t="s">
        <v>21</v>
      </c>
    </row>
    <row r="4153" ht="13.5" customHeight="1">
      <c r="A4153" s="21" t="s">
        <v>22</v>
      </c>
      <c r="B4153" s="21" t="s">
        <v>345</v>
      </c>
      <c r="C4153" s="21" t="s">
        <v>51</v>
      </c>
      <c r="D4153" s="187">
        <f>1/B4137</f>
        <v>0.2</v>
      </c>
      <c r="E4153" s="21">
        <v>65000.0</v>
      </c>
      <c r="F4153" s="33">
        <f t="shared" ref="F4153:F4154" si="198">ROUND(IFERROR(D4153*E4153,0),0)</f>
        <v>13000</v>
      </c>
    </row>
    <row r="4154" ht="13.5" customHeight="1">
      <c r="A4154" s="21" t="s">
        <v>27</v>
      </c>
      <c r="B4154" s="21" t="s">
        <v>54</v>
      </c>
      <c r="C4154" s="21" t="s">
        <v>51</v>
      </c>
      <c r="D4154" s="187">
        <f>1/B4137</f>
        <v>0.2</v>
      </c>
      <c r="E4154" s="21">
        <v>50000.0</v>
      </c>
      <c r="F4154" s="33">
        <f t="shared" si="198"/>
        <v>10000</v>
      </c>
    </row>
    <row r="4155" ht="13.5" customHeight="1">
      <c r="D4155" s="7"/>
      <c r="E4155" s="14" t="s">
        <v>37</v>
      </c>
      <c r="F4155" s="46">
        <f>SUM(F4153:F4154)</f>
        <v>23000</v>
      </c>
    </row>
    <row r="4156" ht="13.5" customHeight="1">
      <c r="D4156" s="7"/>
      <c r="E4156" s="14" t="s">
        <v>59</v>
      </c>
      <c r="F4156" s="46">
        <f>ROUND(F4155*0.5,0)</f>
        <v>11500</v>
      </c>
    </row>
    <row r="4157" ht="13.5" customHeight="1">
      <c r="D4157" s="7"/>
      <c r="E4157" s="14" t="s">
        <v>60</v>
      </c>
      <c r="F4157" s="46">
        <f>F4155+F4156</f>
        <v>34500</v>
      </c>
    </row>
    <row r="4158" ht="13.5" customHeight="1">
      <c r="D4158" s="7"/>
      <c r="E4158" s="9"/>
      <c r="F4158" s="9"/>
    </row>
    <row r="4159" ht="13.5" customHeight="1">
      <c r="A4159" s="14" t="s">
        <v>62</v>
      </c>
      <c r="D4159" s="7"/>
      <c r="E4159" s="9"/>
      <c r="F4159" s="9"/>
    </row>
    <row r="4160" ht="13.5" customHeight="1">
      <c r="A4160" s="18" t="s">
        <v>15</v>
      </c>
      <c r="B4160" s="18" t="s">
        <v>17</v>
      </c>
      <c r="C4160" s="18" t="s">
        <v>18</v>
      </c>
      <c r="D4160" s="18" t="s">
        <v>19</v>
      </c>
      <c r="E4160" s="18" t="s">
        <v>20</v>
      </c>
      <c r="F4160" s="18" t="s">
        <v>21</v>
      </c>
    </row>
    <row r="4161" ht="13.5" customHeight="1">
      <c r="A4161" s="21" t="s">
        <v>22</v>
      </c>
      <c r="B4161" s="21" t="s">
        <v>394</v>
      </c>
      <c r="C4161" s="21" t="s">
        <v>51</v>
      </c>
      <c r="D4161" s="144">
        <f>ROUND(1/B4137,2)</f>
        <v>0.2</v>
      </c>
      <c r="E4161" s="21">
        <v>45000.0</v>
      </c>
      <c r="F4161" s="33">
        <f>ROUND(IFERROR(D4161*E4161,0),0)</f>
        <v>9000</v>
      </c>
    </row>
    <row r="4162" ht="13.5" customHeight="1">
      <c r="A4162" s="21"/>
      <c r="B4162" s="21"/>
      <c r="C4162" s="21"/>
      <c r="D4162" s="144"/>
      <c r="E4162" s="21"/>
      <c r="F4162" s="33"/>
    </row>
    <row r="4163" ht="13.5" customHeight="1">
      <c r="D4163" s="7"/>
      <c r="E4163" s="14" t="s">
        <v>37</v>
      </c>
      <c r="F4163" s="46">
        <f>SUM(F4161:F4162)</f>
        <v>9000</v>
      </c>
    </row>
    <row r="4164" ht="13.5" customHeight="1">
      <c r="D4164" s="7"/>
      <c r="E4164" s="9"/>
      <c r="F4164" s="9"/>
    </row>
    <row r="4165" ht="13.5" customHeight="1">
      <c r="A4165" s="14" t="s">
        <v>74</v>
      </c>
      <c r="D4165" s="7"/>
      <c r="E4165" s="9"/>
      <c r="F4165" s="9"/>
    </row>
    <row r="4166" ht="13.5" customHeight="1">
      <c r="A4166" s="18"/>
      <c r="B4166" s="18" t="s">
        <v>17</v>
      </c>
      <c r="C4166" s="18" t="s">
        <v>18</v>
      </c>
      <c r="D4166" s="18" t="s">
        <v>19</v>
      </c>
      <c r="E4166" s="18" t="s">
        <v>20</v>
      </c>
      <c r="F4166" s="18" t="s">
        <v>21</v>
      </c>
    </row>
    <row r="4167" ht="13.5" customHeight="1">
      <c r="D4167" s="7"/>
      <c r="E4167" s="14" t="s">
        <v>77</v>
      </c>
      <c r="F4167" s="46">
        <f>F4149+F4157+F4163</f>
        <v>180325</v>
      </c>
    </row>
    <row r="4168" ht="13.5" customHeight="1">
      <c r="D4168" s="7"/>
      <c r="E4168" s="14" t="s">
        <v>6</v>
      </c>
      <c r="F4168" s="46">
        <f>ROUND(F4167*F4138,0)</f>
        <v>27049</v>
      </c>
    </row>
    <row r="4169" ht="13.5" customHeight="1">
      <c r="D4169" s="7"/>
      <c r="E4169" s="14" t="s">
        <v>8</v>
      </c>
      <c r="F4169" s="46">
        <f>ROUND(F4167*F4139,0)</f>
        <v>36065</v>
      </c>
    </row>
    <row r="4170" ht="13.5" customHeight="1">
      <c r="D4170" s="7"/>
      <c r="E4170" s="14" t="s">
        <v>81</v>
      </c>
      <c r="F4170" s="46">
        <f>F4167+F4168+F4169</f>
        <v>243439</v>
      </c>
    </row>
    <row r="4171" ht="13.5" customHeight="1">
      <c r="D4171" s="7"/>
      <c r="E4171" s="14" t="s">
        <v>82</v>
      </c>
      <c r="F4171" s="46">
        <f>ROUND(F4170*F4140,0)</f>
        <v>46253</v>
      </c>
    </row>
    <row r="4172" ht="13.5" customHeight="1">
      <c r="D4172" s="14" t="s">
        <v>254</v>
      </c>
      <c r="E4172" s="18" t="s">
        <v>84</v>
      </c>
      <c r="F4172" s="53">
        <f>F4170+F4171</f>
        <v>289692</v>
      </c>
    </row>
    <row r="4173" ht="13.5" customHeight="1"/>
    <row r="4174" ht="13.5" customHeight="1"/>
    <row r="4175" ht="13.5" customHeight="1"/>
    <row r="4176" ht="13.5" customHeight="1"/>
    <row r="4177" ht="13.5" customHeight="1"/>
    <row r="4178" ht="13.5" customHeight="1"/>
    <row r="4179" ht="13.5" customHeight="1"/>
    <row r="4180" ht="13.5" customHeight="1"/>
    <row r="4181" ht="13.5" customHeight="1">
      <c r="A4181" s="3" t="s">
        <v>1</v>
      </c>
      <c r="B4181" s="5">
        <v>10.0</v>
      </c>
      <c r="C4181" s="3" t="s">
        <v>2</v>
      </c>
      <c r="D4181" s="7"/>
      <c r="E4181" s="3" t="s">
        <v>3</v>
      </c>
      <c r="F4181" s="9"/>
    </row>
    <row r="4182" ht="13.5" customHeight="1">
      <c r="A4182" s="3" t="s">
        <v>4</v>
      </c>
      <c r="B4182" s="5" t="s">
        <v>142</v>
      </c>
      <c r="D4182" s="7"/>
      <c r="E4182" s="3" t="s">
        <v>6</v>
      </c>
      <c r="F4182" s="10">
        <v>0.15</v>
      </c>
    </row>
    <row r="4183" ht="13.5" customHeight="1">
      <c r="D4183" s="7"/>
      <c r="E4183" s="3" t="s">
        <v>8</v>
      </c>
      <c r="F4183" s="10">
        <v>0.2</v>
      </c>
    </row>
    <row r="4184" ht="13.5" customHeight="1">
      <c r="B4184" s="5" t="s">
        <v>636</v>
      </c>
      <c r="D4184" s="7"/>
      <c r="E4184" s="3" t="s">
        <v>10</v>
      </c>
      <c r="F4184" s="10">
        <v>0.19</v>
      </c>
    </row>
    <row r="4185" ht="13.5" customHeight="1">
      <c r="A4185" s="14" t="s">
        <v>11</v>
      </c>
      <c r="D4185" s="7"/>
      <c r="E4185" s="9"/>
      <c r="F4185" s="9"/>
    </row>
    <row r="4186" ht="13.5" customHeight="1">
      <c r="A4186" s="18" t="s">
        <v>15</v>
      </c>
      <c r="B4186" s="18" t="s">
        <v>17</v>
      </c>
      <c r="C4186" s="18" t="s">
        <v>18</v>
      </c>
      <c r="D4186" s="18" t="s">
        <v>19</v>
      </c>
      <c r="E4186" s="18" t="s">
        <v>20</v>
      </c>
      <c r="F4186" s="18" t="s">
        <v>21</v>
      </c>
    </row>
    <row r="4187" ht="13.5" customHeight="1">
      <c r="A4187" s="21" t="s">
        <v>22</v>
      </c>
      <c r="B4187" s="21" t="s">
        <v>637</v>
      </c>
      <c r="C4187" s="21" t="s">
        <v>142</v>
      </c>
      <c r="D4187" s="21">
        <v>1.0</v>
      </c>
      <c r="E4187" s="21">
        <v>55000.0</v>
      </c>
      <c r="F4187" s="33">
        <f t="shared" ref="F4187:F4188" si="199">ROUND(IFERROR(D4187*E4187,0),0)</f>
        <v>55000</v>
      </c>
    </row>
    <row r="4188" ht="13.5" customHeight="1">
      <c r="A4188" s="21" t="s">
        <v>27</v>
      </c>
      <c r="B4188" s="21" t="s">
        <v>634</v>
      </c>
      <c r="C4188" s="21" t="s">
        <v>34</v>
      </c>
      <c r="D4188" s="21">
        <v>1.0</v>
      </c>
      <c r="E4188" s="21">
        <v>2500.0</v>
      </c>
      <c r="F4188" s="33">
        <f t="shared" si="199"/>
        <v>2500</v>
      </c>
    </row>
    <row r="4189" ht="13.5" customHeight="1">
      <c r="A4189" s="21" t="s">
        <v>32</v>
      </c>
      <c r="B4189" s="21"/>
      <c r="C4189" s="21"/>
      <c r="D4189" s="21"/>
      <c r="E4189" s="279"/>
      <c r="F4189" s="33"/>
    </row>
    <row r="4190" ht="13.5" customHeight="1">
      <c r="A4190" s="21" t="s">
        <v>99</v>
      </c>
      <c r="B4190" s="21"/>
      <c r="C4190" s="21"/>
      <c r="D4190" s="21"/>
      <c r="E4190" s="279"/>
      <c r="F4190" s="33"/>
    </row>
    <row r="4191" ht="13.5" customHeight="1">
      <c r="A4191" s="21"/>
      <c r="B4191" s="21"/>
      <c r="C4191" s="21"/>
      <c r="D4191" s="21"/>
      <c r="E4191" s="279"/>
      <c r="F4191" s="33"/>
    </row>
    <row r="4192" ht="13.5" customHeight="1">
      <c r="A4192" s="21"/>
      <c r="B4192" s="21"/>
      <c r="C4192" s="21"/>
      <c r="D4192" s="21"/>
      <c r="E4192" s="279"/>
      <c r="F4192" s="33"/>
    </row>
    <row r="4193" ht="13.5" customHeight="1">
      <c r="D4193" s="7"/>
      <c r="E4193" s="14" t="s">
        <v>37</v>
      </c>
      <c r="F4193" s="46">
        <f>SUM(F4187:F4192)</f>
        <v>57500</v>
      </c>
    </row>
    <row r="4194" ht="13.5" customHeight="1">
      <c r="D4194" s="7"/>
      <c r="E4194" s="9"/>
      <c r="F4194" s="9"/>
    </row>
    <row r="4195" ht="13.5" customHeight="1">
      <c r="A4195" s="14" t="s">
        <v>44</v>
      </c>
      <c r="D4195" s="7"/>
      <c r="E4195" s="9"/>
      <c r="F4195" s="9"/>
    </row>
    <row r="4196" ht="13.5" customHeight="1">
      <c r="A4196" s="18" t="s">
        <v>15</v>
      </c>
      <c r="B4196" s="18" t="s">
        <v>17</v>
      </c>
      <c r="C4196" s="18" t="s">
        <v>18</v>
      </c>
      <c r="D4196" s="18" t="s">
        <v>19</v>
      </c>
      <c r="E4196" s="18" t="s">
        <v>20</v>
      </c>
      <c r="F4196" s="18" t="s">
        <v>21</v>
      </c>
    </row>
    <row r="4197" ht="13.5" customHeight="1">
      <c r="A4197" s="21" t="s">
        <v>22</v>
      </c>
      <c r="B4197" s="21" t="s">
        <v>345</v>
      </c>
      <c r="C4197" s="21" t="s">
        <v>51</v>
      </c>
      <c r="D4197" s="187">
        <f>1/B4181</f>
        <v>0.1</v>
      </c>
      <c r="E4197" s="21">
        <v>65000.0</v>
      </c>
      <c r="F4197" s="33">
        <f t="shared" ref="F4197:F4198" si="200">ROUND(IFERROR(D4197*E4197,0),0)</f>
        <v>6500</v>
      </c>
    </row>
    <row r="4198" ht="13.5" customHeight="1">
      <c r="A4198" s="21" t="s">
        <v>27</v>
      </c>
      <c r="B4198" s="21" t="s">
        <v>54</v>
      </c>
      <c r="C4198" s="21" t="s">
        <v>51</v>
      </c>
      <c r="D4198" s="187">
        <f>1/B4181</f>
        <v>0.1</v>
      </c>
      <c r="E4198" s="21">
        <v>50000.0</v>
      </c>
      <c r="F4198" s="33">
        <f t="shared" si="200"/>
        <v>5000</v>
      </c>
    </row>
    <row r="4199" ht="13.5" customHeight="1">
      <c r="D4199" s="7"/>
      <c r="E4199" s="14" t="s">
        <v>37</v>
      </c>
      <c r="F4199" s="46">
        <f>SUM(F4197:F4198)</f>
        <v>11500</v>
      </c>
    </row>
    <row r="4200" ht="13.5" customHeight="1">
      <c r="D4200" s="7"/>
      <c r="E4200" s="14" t="s">
        <v>59</v>
      </c>
      <c r="F4200" s="46">
        <f>ROUND(F4199*0.5,0)</f>
        <v>5750</v>
      </c>
    </row>
    <row r="4201" ht="13.5" customHeight="1">
      <c r="D4201" s="7"/>
      <c r="E4201" s="14" t="s">
        <v>60</v>
      </c>
      <c r="F4201" s="46">
        <f>F4199+F4200</f>
        <v>17250</v>
      </c>
    </row>
    <row r="4202" ht="13.5" customHeight="1">
      <c r="D4202" s="7"/>
      <c r="E4202" s="9"/>
      <c r="F4202" s="9"/>
    </row>
    <row r="4203" ht="13.5" customHeight="1">
      <c r="A4203" s="14" t="s">
        <v>62</v>
      </c>
      <c r="D4203" s="7"/>
      <c r="E4203" s="9"/>
      <c r="F4203" s="9"/>
    </row>
    <row r="4204" ht="13.5" customHeight="1">
      <c r="A4204" s="18" t="s">
        <v>15</v>
      </c>
      <c r="B4204" s="18" t="s">
        <v>17</v>
      </c>
      <c r="C4204" s="18" t="s">
        <v>18</v>
      </c>
      <c r="D4204" s="18" t="s">
        <v>19</v>
      </c>
      <c r="E4204" s="18" t="s">
        <v>20</v>
      </c>
      <c r="F4204" s="18" t="s">
        <v>21</v>
      </c>
    </row>
    <row r="4205" ht="13.5" customHeight="1">
      <c r="A4205" s="21" t="s">
        <v>22</v>
      </c>
      <c r="B4205" s="21" t="s">
        <v>394</v>
      </c>
      <c r="C4205" s="21" t="s">
        <v>51</v>
      </c>
      <c r="D4205" s="144">
        <f>1/B4181</f>
        <v>0.1</v>
      </c>
      <c r="E4205" s="21">
        <v>45000.0</v>
      </c>
      <c r="F4205" s="33">
        <f>ROUND(IFERROR(D4205*E4205,0),0)</f>
        <v>4500</v>
      </c>
    </row>
    <row r="4206" ht="13.5" customHeight="1">
      <c r="A4206" s="21"/>
      <c r="B4206" s="21"/>
      <c r="C4206" s="21"/>
      <c r="D4206" s="144"/>
      <c r="E4206" s="21"/>
      <c r="F4206" s="33"/>
    </row>
    <row r="4207" ht="13.5" customHeight="1">
      <c r="D4207" s="7"/>
      <c r="E4207" s="14" t="s">
        <v>37</v>
      </c>
      <c r="F4207" s="46">
        <f>SUM(F4205:F4206)</f>
        <v>4500</v>
      </c>
    </row>
    <row r="4208" ht="13.5" customHeight="1">
      <c r="D4208" s="7"/>
      <c r="E4208" s="9"/>
      <c r="F4208" s="9"/>
    </row>
    <row r="4209" ht="13.5" customHeight="1">
      <c r="A4209" s="14" t="s">
        <v>74</v>
      </c>
      <c r="D4209" s="7"/>
      <c r="E4209" s="9"/>
      <c r="F4209" s="9"/>
    </row>
    <row r="4210" ht="13.5" customHeight="1">
      <c r="A4210" s="18"/>
      <c r="B4210" s="18" t="s">
        <v>17</v>
      </c>
      <c r="C4210" s="18" t="s">
        <v>18</v>
      </c>
      <c r="D4210" s="18" t="s">
        <v>19</v>
      </c>
      <c r="E4210" s="18" t="s">
        <v>20</v>
      </c>
      <c r="F4210" s="18" t="s">
        <v>21</v>
      </c>
    </row>
    <row r="4211" ht="13.5" customHeight="1">
      <c r="D4211" s="7"/>
      <c r="E4211" s="14" t="s">
        <v>77</v>
      </c>
      <c r="F4211" s="46">
        <f>F4193+F4201+F4207</f>
        <v>79250</v>
      </c>
    </row>
    <row r="4212" ht="13.5" customHeight="1">
      <c r="D4212" s="7"/>
      <c r="E4212" s="14" t="s">
        <v>6</v>
      </c>
      <c r="F4212" s="46">
        <f>ROUND(F4211*F4182,0)</f>
        <v>11888</v>
      </c>
    </row>
    <row r="4213" ht="13.5" customHeight="1">
      <c r="D4213" s="7"/>
      <c r="E4213" s="14" t="s">
        <v>8</v>
      </c>
      <c r="F4213" s="46">
        <f>ROUND(F4211*F4183,0)</f>
        <v>15850</v>
      </c>
    </row>
    <row r="4214" ht="13.5" customHeight="1">
      <c r="D4214" s="7"/>
      <c r="E4214" s="14" t="s">
        <v>81</v>
      </c>
      <c r="F4214" s="46">
        <f>F4211+F4212+F4213</f>
        <v>106988</v>
      </c>
    </row>
    <row r="4215" ht="13.5" customHeight="1">
      <c r="D4215" s="7"/>
      <c r="E4215" s="14" t="s">
        <v>82</v>
      </c>
      <c r="F4215" s="46">
        <f>ROUND(F4214*F4184,0)</f>
        <v>20328</v>
      </c>
    </row>
    <row r="4216" ht="13.5" customHeight="1">
      <c r="D4216" s="14" t="s">
        <v>254</v>
      </c>
      <c r="E4216" s="18" t="s">
        <v>84</v>
      </c>
      <c r="F4216" s="53">
        <f>F4214+F4215</f>
        <v>127316</v>
      </c>
    </row>
    <row r="4217" ht="13.5" customHeight="1"/>
    <row r="4218" ht="13.5" customHeight="1"/>
    <row r="4219" ht="13.5" customHeight="1"/>
    <row r="4220" ht="13.5" customHeight="1"/>
    <row r="4221" ht="13.5" customHeight="1"/>
    <row r="4222" ht="13.5" customHeight="1"/>
    <row r="4223" ht="13.5" customHeight="1"/>
    <row r="4224" ht="13.5" customHeight="1"/>
    <row r="4225" ht="13.5" customHeight="1">
      <c r="A4225" s="3" t="s">
        <v>1</v>
      </c>
      <c r="B4225" s="5">
        <v>12.0</v>
      </c>
      <c r="C4225" s="3" t="s">
        <v>2</v>
      </c>
      <c r="D4225" s="7"/>
      <c r="E4225" s="3" t="s">
        <v>3</v>
      </c>
      <c r="F4225" s="9"/>
    </row>
    <row r="4226" ht="13.5" customHeight="1">
      <c r="A4226" s="3" t="s">
        <v>4</v>
      </c>
      <c r="B4226" s="5" t="s">
        <v>30</v>
      </c>
      <c r="D4226" s="7"/>
      <c r="E4226" s="3" t="s">
        <v>6</v>
      </c>
      <c r="F4226" s="10">
        <v>0.15</v>
      </c>
    </row>
    <row r="4227" ht="13.5" customHeight="1">
      <c r="D4227" s="7"/>
      <c r="E4227" s="3" t="s">
        <v>8</v>
      </c>
      <c r="F4227" s="10">
        <v>0.2</v>
      </c>
    </row>
    <row r="4228" ht="13.5" customHeight="1">
      <c r="B4228" s="5" t="s">
        <v>638</v>
      </c>
      <c r="D4228" s="7"/>
      <c r="E4228" s="3" t="s">
        <v>10</v>
      </c>
      <c r="F4228" s="10">
        <v>0.19</v>
      </c>
    </row>
    <row r="4229" ht="13.5" customHeight="1">
      <c r="A4229" s="14" t="s">
        <v>11</v>
      </c>
      <c r="D4229" s="7"/>
      <c r="E4229" s="9"/>
      <c r="F4229" s="9"/>
    </row>
    <row r="4230" ht="13.5" customHeight="1">
      <c r="A4230" s="18" t="s">
        <v>15</v>
      </c>
      <c r="B4230" s="18" t="s">
        <v>17</v>
      </c>
      <c r="C4230" s="18" t="s">
        <v>18</v>
      </c>
      <c r="D4230" s="18" t="s">
        <v>19</v>
      </c>
      <c r="E4230" s="18" t="s">
        <v>20</v>
      </c>
      <c r="F4230" s="18" t="s">
        <v>21</v>
      </c>
    </row>
    <row r="4231" ht="13.5" customHeight="1">
      <c r="A4231" s="21" t="s">
        <v>22</v>
      </c>
      <c r="B4231" s="21" t="s">
        <v>639</v>
      </c>
      <c r="C4231" s="21" t="s">
        <v>5</v>
      </c>
      <c r="D4231" s="21">
        <v>4.56</v>
      </c>
      <c r="E4231" s="21">
        <v>30000.0</v>
      </c>
      <c r="F4231" s="33">
        <f t="shared" ref="F4231:F4233" si="201">ROUND(IFERROR(D4231*E4231,0),0)</f>
        <v>136800</v>
      </c>
    </row>
    <row r="4232" ht="13.5" customHeight="1">
      <c r="A4232" s="21" t="s">
        <v>27</v>
      </c>
      <c r="B4232" s="21" t="s">
        <v>640</v>
      </c>
      <c r="C4232" s="21" t="s">
        <v>30</v>
      </c>
      <c r="D4232" s="21">
        <v>1.0</v>
      </c>
      <c r="E4232" s="21">
        <v>8000.0</v>
      </c>
      <c r="F4232" s="33">
        <f t="shared" si="201"/>
        <v>8000</v>
      </c>
    </row>
    <row r="4233" ht="13.5" customHeight="1">
      <c r="A4233" s="21" t="s">
        <v>32</v>
      </c>
      <c r="B4233" s="21" t="s">
        <v>641</v>
      </c>
      <c r="C4233" s="21" t="s">
        <v>34</v>
      </c>
      <c r="D4233" s="21">
        <v>1.0</v>
      </c>
      <c r="E4233" s="279">
        <v>1200.0</v>
      </c>
      <c r="F4233" s="33">
        <f t="shared" si="201"/>
        <v>1200</v>
      </c>
    </row>
    <row r="4234" ht="13.5" customHeight="1">
      <c r="A4234" s="21" t="s">
        <v>99</v>
      </c>
      <c r="B4234" s="21"/>
      <c r="C4234" s="21"/>
      <c r="D4234" s="21"/>
      <c r="E4234" s="279"/>
      <c r="F4234" s="33"/>
    </row>
    <row r="4235" ht="13.5" customHeight="1">
      <c r="A4235" s="21"/>
      <c r="B4235" s="21"/>
      <c r="C4235" s="21"/>
      <c r="D4235" s="21"/>
      <c r="E4235" s="279"/>
      <c r="F4235" s="33"/>
    </row>
    <row r="4236" ht="13.5" customHeight="1">
      <c r="A4236" s="21"/>
      <c r="B4236" s="21"/>
      <c r="C4236" s="21"/>
      <c r="D4236" s="21"/>
      <c r="E4236" s="279"/>
      <c r="F4236" s="33"/>
    </row>
    <row r="4237" ht="13.5" customHeight="1">
      <c r="D4237" s="7"/>
      <c r="E4237" s="14" t="s">
        <v>37</v>
      </c>
      <c r="F4237" s="46">
        <f>SUM(F4231:F4236)</f>
        <v>146000</v>
      </c>
    </row>
    <row r="4238" ht="13.5" customHeight="1">
      <c r="D4238" s="7"/>
      <c r="E4238" s="9"/>
      <c r="F4238" s="9"/>
    </row>
    <row r="4239" ht="13.5" customHeight="1">
      <c r="A4239" s="14" t="s">
        <v>44</v>
      </c>
      <c r="D4239" s="7"/>
      <c r="E4239" s="9"/>
      <c r="F4239" s="9"/>
    </row>
    <row r="4240" ht="13.5" customHeight="1">
      <c r="A4240" s="18" t="s">
        <v>15</v>
      </c>
      <c r="B4240" s="18" t="s">
        <v>17</v>
      </c>
      <c r="C4240" s="18" t="s">
        <v>18</v>
      </c>
      <c r="D4240" s="18" t="s">
        <v>19</v>
      </c>
      <c r="E4240" s="18" t="s">
        <v>20</v>
      </c>
      <c r="F4240" s="18" t="s">
        <v>21</v>
      </c>
    </row>
    <row r="4241" ht="13.5" customHeight="1">
      <c r="A4241" s="21" t="s">
        <v>22</v>
      </c>
      <c r="B4241" s="21" t="s">
        <v>345</v>
      </c>
      <c r="C4241" s="21" t="s">
        <v>51</v>
      </c>
      <c r="D4241" s="187">
        <f>ROUND(1/B4225,2)</f>
        <v>0.08</v>
      </c>
      <c r="E4241" s="21">
        <v>65000.0</v>
      </c>
      <c r="F4241" s="33">
        <f t="shared" ref="F4241:F4242" si="202">ROUND(IFERROR(D4241*E4241,0),0)</f>
        <v>5200</v>
      </c>
    </row>
    <row r="4242" ht="13.5" customHeight="1">
      <c r="A4242" s="21" t="s">
        <v>27</v>
      </c>
      <c r="B4242" s="21" t="s">
        <v>54</v>
      </c>
      <c r="C4242" s="21" t="s">
        <v>51</v>
      </c>
      <c r="D4242" s="187">
        <v>0.04</v>
      </c>
      <c r="E4242" s="21">
        <v>50000.0</v>
      </c>
      <c r="F4242" s="33">
        <f t="shared" si="202"/>
        <v>2000</v>
      </c>
    </row>
    <row r="4243" ht="13.5" customHeight="1">
      <c r="D4243" s="7"/>
      <c r="E4243" s="14" t="s">
        <v>37</v>
      </c>
      <c r="F4243" s="46">
        <f>SUM(F4241:F4242)</f>
        <v>7200</v>
      </c>
    </row>
    <row r="4244" ht="13.5" customHeight="1">
      <c r="D4244" s="7"/>
      <c r="E4244" s="14" t="s">
        <v>59</v>
      </c>
      <c r="F4244" s="46">
        <f>F4243*0.5</f>
        <v>3600</v>
      </c>
    </row>
    <row r="4245" ht="13.5" customHeight="1">
      <c r="D4245" s="7"/>
      <c r="E4245" s="14" t="s">
        <v>60</v>
      </c>
      <c r="F4245" s="46">
        <f>F4243+F4244</f>
        <v>10800</v>
      </c>
    </row>
    <row r="4246" ht="13.5" customHeight="1">
      <c r="D4246" s="7"/>
      <c r="E4246" s="9"/>
      <c r="F4246" s="9"/>
    </row>
    <row r="4247" ht="13.5" customHeight="1">
      <c r="A4247" s="14" t="s">
        <v>62</v>
      </c>
      <c r="D4247" s="7"/>
      <c r="E4247" s="9"/>
      <c r="F4247" s="9"/>
    </row>
    <row r="4248" ht="13.5" customHeight="1">
      <c r="A4248" s="18" t="s">
        <v>15</v>
      </c>
      <c r="B4248" s="18" t="s">
        <v>17</v>
      </c>
      <c r="C4248" s="18" t="s">
        <v>18</v>
      </c>
      <c r="D4248" s="18" t="s">
        <v>19</v>
      </c>
      <c r="E4248" s="18" t="s">
        <v>20</v>
      </c>
      <c r="F4248" s="18" t="s">
        <v>21</v>
      </c>
    </row>
    <row r="4249" ht="13.5" customHeight="1">
      <c r="A4249" s="21" t="s">
        <v>22</v>
      </c>
      <c r="B4249" s="21" t="s">
        <v>394</v>
      </c>
      <c r="C4249" s="21" t="s">
        <v>51</v>
      </c>
      <c r="D4249" s="144">
        <v>0.04</v>
      </c>
      <c r="E4249" s="21">
        <v>45000.0</v>
      </c>
      <c r="F4249" s="33">
        <f>ROUND(IFERROR(D4249*E4249,0),0)</f>
        <v>1800</v>
      </c>
    </row>
    <row r="4250" ht="13.5" customHeight="1">
      <c r="A4250" s="21"/>
      <c r="B4250" s="21"/>
      <c r="C4250" s="21"/>
      <c r="D4250" s="144"/>
      <c r="E4250" s="21"/>
      <c r="F4250" s="33"/>
    </row>
    <row r="4251" ht="13.5" customHeight="1">
      <c r="D4251" s="7"/>
      <c r="E4251" s="14" t="s">
        <v>37</v>
      </c>
      <c r="F4251" s="46">
        <f>SUM(F4249:F4250)</f>
        <v>1800</v>
      </c>
    </row>
    <row r="4252" ht="13.5" customHeight="1">
      <c r="D4252" s="7"/>
      <c r="E4252" s="9"/>
      <c r="F4252" s="9"/>
    </row>
    <row r="4253" ht="13.5" customHeight="1">
      <c r="A4253" s="14" t="s">
        <v>74</v>
      </c>
      <c r="D4253" s="7"/>
      <c r="E4253" s="9"/>
      <c r="F4253" s="9"/>
    </row>
    <row r="4254" ht="13.5" customHeight="1">
      <c r="A4254" s="18"/>
      <c r="B4254" s="18" t="s">
        <v>17</v>
      </c>
      <c r="C4254" s="18" t="s">
        <v>18</v>
      </c>
      <c r="D4254" s="18" t="s">
        <v>19</v>
      </c>
      <c r="E4254" s="18" t="s">
        <v>20</v>
      </c>
      <c r="F4254" s="18" t="s">
        <v>21</v>
      </c>
    </row>
    <row r="4255" ht="13.5" customHeight="1">
      <c r="D4255" s="7"/>
      <c r="E4255" s="14" t="s">
        <v>77</v>
      </c>
      <c r="F4255" s="46">
        <f>F4237+F4245+F4251</f>
        <v>158600</v>
      </c>
    </row>
    <row r="4256" ht="13.5" customHeight="1">
      <c r="D4256" s="7"/>
      <c r="E4256" s="14" t="s">
        <v>6</v>
      </c>
      <c r="F4256" s="46">
        <f>ROUND(F4255*F4226,0)</f>
        <v>23790</v>
      </c>
    </row>
    <row r="4257" ht="13.5" customHeight="1">
      <c r="D4257" s="7"/>
      <c r="E4257" s="14" t="s">
        <v>8</v>
      </c>
      <c r="F4257" s="46">
        <f>ROUND(F4255*F4227,0)</f>
        <v>31720</v>
      </c>
    </row>
    <row r="4258" ht="13.5" customHeight="1">
      <c r="D4258" s="7"/>
      <c r="E4258" s="14" t="s">
        <v>81</v>
      </c>
      <c r="F4258" s="46">
        <f>F4255+F4256+F4257</f>
        <v>214110</v>
      </c>
    </row>
    <row r="4259" ht="13.5" customHeight="1">
      <c r="D4259" s="7"/>
      <c r="E4259" s="14" t="s">
        <v>82</v>
      </c>
      <c r="F4259" s="46">
        <f>ROUND(F4258*F4228,0)</f>
        <v>40681</v>
      </c>
    </row>
    <row r="4260" ht="13.5" customHeight="1">
      <c r="D4260" s="14" t="s">
        <v>425</v>
      </c>
      <c r="E4260" s="18" t="s">
        <v>84</v>
      </c>
      <c r="F4260" s="53">
        <f>F4258+F4259</f>
        <v>254791</v>
      </c>
    </row>
    <row r="4261" ht="13.5" customHeight="1"/>
    <row r="4262" ht="13.5" customHeight="1"/>
    <row r="4263" ht="13.5" customHeight="1"/>
    <row r="4264" ht="13.5" customHeight="1"/>
    <row r="4265" ht="13.5" customHeight="1"/>
    <row r="4266" ht="13.5" customHeight="1"/>
    <row r="4267" ht="13.5" customHeight="1"/>
    <row r="4268" ht="13.5" customHeight="1"/>
    <row r="4269" ht="13.5" customHeight="1">
      <c r="A4269" s="3" t="s">
        <v>1</v>
      </c>
      <c r="B4269" s="5">
        <v>12.0</v>
      </c>
      <c r="C4269" s="3" t="s">
        <v>2</v>
      </c>
      <c r="D4269" s="7"/>
      <c r="E4269" s="3" t="s">
        <v>3</v>
      </c>
      <c r="F4269" s="9"/>
    </row>
    <row r="4270" ht="13.5" customHeight="1">
      <c r="A4270" s="3" t="s">
        <v>4</v>
      </c>
      <c r="B4270" s="5" t="s">
        <v>30</v>
      </c>
      <c r="D4270" s="7"/>
      <c r="E4270" s="3" t="s">
        <v>6</v>
      </c>
      <c r="F4270" s="10">
        <v>0.15</v>
      </c>
    </row>
    <row r="4271" ht="13.5" customHeight="1">
      <c r="D4271" s="7"/>
      <c r="E4271" s="3" t="s">
        <v>8</v>
      </c>
      <c r="F4271" s="10">
        <v>0.2</v>
      </c>
    </row>
    <row r="4272" ht="13.5" customHeight="1">
      <c r="B4272" s="5" t="s">
        <v>642</v>
      </c>
      <c r="D4272" s="7"/>
      <c r="E4272" s="3" t="s">
        <v>10</v>
      </c>
      <c r="F4272" s="10">
        <v>0.19</v>
      </c>
    </row>
    <row r="4273" ht="13.5" customHeight="1">
      <c r="A4273" s="14" t="s">
        <v>11</v>
      </c>
      <c r="D4273" s="7"/>
      <c r="E4273" s="9"/>
      <c r="F4273" s="9"/>
    </row>
    <row r="4274" ht="13.5" customHeight="1">
      <c r="A4274" s="18" t="s">
        <v>15</v>
      </c>
      <c r="B4274" s="18" t="s">
        <v>17</v>
      </c>
      <c r="C4274" s="18" t="s">
        <v>18</v>
      </c>
      <c r="D4274" s="18" t="s">
        <v>19</v>
      </c>
      <c r="E4274" s="18" t="s">
        <v>20</v>
      </c>
      <c r="F4274" s="18" t="s">
        <v>21</v>
      </c>
    </row>
    <row r="4275" ht="13.5" customHeight="1">
      <c r="A4275" s="21" t="s">
        <v>22</v>
      </c>
      <c r="B4275" s="21" t="s">
        <v>643</v>
      </c>
      <c r="C4275" s="21" t="s">
        <v>5</v>
      </c>
      <c r="D4275" s="21">
        <v>2.04</v>
      </c>
      <c r="E4275" s="21">
        <v>30000.0</v>
      </c>
      <c r="F4275" s="33">
        <f t="shared" ref="F4275:F4277" si="203">ROUND(IFERROR(D4275*E4275,0),0)</f>
        <v>61200</v>
      </c>
    </row>
    <row r="4276" ht="13.5" customHeight="1">
      <c r="A4276" s="21" t="s">
        <v>27</v>
      </c>
      <c r="B4276" s="21" t="s">
        <v>640</v>
      </c>
      <c r="C4276" s="21" t="s">
        <v>30</v>
      </c>
      <c r="D4276" s="21">
        <v>1.0</v>
      </c>
      <c r="E4276" s="21">
        <v>8000.0</v>
      </c>
      <c r="F4276" s="33">
        <f t="shared" si="203"/>
        <v>8000</v>
      </c>
    </row>
    <row r="4277" ht="13.5" customHeight="1">
      <c r="A4277" s="21" t="s">
        <v>32</v>
      </c>
      <c r="B4277" s="21" t="s">
        <v>641</v>
      </c>
      <c r="C4277" s="21" t="s">
        <v>34</v>
      </c>
      <c r="D4277" s="21">
        <v>1.0</v>
      </c>
      <c r="E4277" s="279">
        <v>1200.0</v>
      </c>
      <c r="F4277" s="33">
        <f t="shared" si="203"/>
        <v>1200</v>
      </c>
    </row>
    <row r="4278" ht="13.5" customHeight="1">
      <c r="A4278" s="21" t="s">
        <v>99</v>
      </c>
      <c r="B4278" s="21"/>
      <c r="C4278" s="21"/>
      <c r="D4278" s="21"/>
      <c r="E4278" s="279"/>
      <c r="F4278" s="33"/>
    </row>
    <row r="4279" ht="13.5" customHeight="1">
      <c r="A4279" s="21"/>
      <c r="B4279" s="21"/>
      <c r="C4279" s="21"/>
      <c r="D4279" s="21"/>
      <c r="E4279" s="279"/>
      <c r="F4279" s="33"/>
    </row>
    <row r="4280" ht="13.5" customHeight="1">
      <c r="A4280" s="21"/>
      <c r="B4280" s="21"/>
      <c r="C4280" s="21"/>
      <c r="D4280" s="21"/>
      <c r="E4280" s="279"/>
      <c r="F4280" s="33"/>
    </row>
    <row r="4281" ht="13.5" customHeight="1">
      <c r="D4281" s="7"/>
      <c r="E4281" s="14" t="s">
        <v>37</v>
      </c>
      <c r="F4281" s="46">
        <f>SUM(F4275:F4280)</f>
        <v>70400</v>
      </c>
    </row>
    <row r="4282" ht="13.5" customHeight="1">
      <c r="D4282" s="7"/>
      <c r="E4282" s="9"/>
      <c r="F4282" s="9"/>
    </row>
    <row r="4283" ht="13.5" customHeight="1">
      <c r="A4283" s="14" t="s">
        <v>44</v>
      </c>
      <c r="D4283" s="7"/>
      <c r="E4283" s="9"/>
      <c r="F4283" s="9"/>
    </row>
    <row r="4284" ht="13.5" customHeight="1">
      <c r="A4284" s="18" t="s">
        <v>15</v>
      </c>
      <c r="B4284" s="18" t="s">
        <v>17</v>
      </c>
      <c r="C4284" s="18" t="s">
        <v>18</v>
      </c>
      <c r="D4284" s="18" t="s">
        <v>19</v>
      </c>
      <c r="E4284" s="18" t="s">
        <v>20</v>
      </c>
      <c r="F4284" s="18" t="s">
        <v>21</v>
      </c>
    </row>
    <row r="4285" ht="13.5" customHeight="1">
      <c r="A4285" s="21" t="s">
        <v>22</v>
      </c>
      <c r="B4285" s="21" t="s">
        <v>345</v>
      </c>
      <c r="C4285" s="21" t="s">
        <v>51</v>
      </c>
      <c r="D4285" s="187">
        <f>ROUND(1/B4269,2)</f>
        <v>0.08</v>
      </c>
      <c r="E4285" s="21">
        <v>65000.0</v>
      </c>
      <c r="F4285" s="33">
        <f t="shared" ref="F4285:F4286" si="204">ROUND(IFERROR(D4285*E4285,0),0)</f>
        <v>5200</v>
      </c>
    </row>
    <row r="4286" ht="13.5" customHeight="1">
      <c r="A4286" s="21" t="s">
        <v>27</v>
      </c>
      <c r="B4286" s="21" t="s">
        <v>54</v>
      </c>
      <c r="C4286" s="21" t="s">
        <v>51</v>
      </c>
      <c r="D4286" s="187">
        <v>0.04</v>
      </c>
      <c r="E4286" s="21">
        <v>50000.0</v>
      </c>
      <c r="F4286" s="33">
        <f t="shared" si="204"/>
        <v>2000</v>
      </c>
    </row>
    <row r="4287" ht="13.5" customHeight="1">
      <c r="D4287" s="7"/>
      <c r="E4287" s="14" t="s">
        <v>37</v>
      </c>
      <c r="F4287" s="46">
        <f>SUM(F4285:F4286)</f>
        <v>7200</v>
      </c>
    </row>
    <row r="4288" ht="13.5" customHeight="1">
      <c r="D4288" s="7"/>
      <c r="E4288" s="14" t="s">
        <v>59</v>
      </c>
      <c r="F4288" s="46">
        <f>ROUND(F4287*0.5,0)</f>
        <v>3600</v>
      </c>
    </row>
    <row r="4289" ht="13.5" customHeight="1">
      <c r="D4289" s="7"/>
      <c r="E4289" s="14" t="s">
        <v>60</v>
      </c>
      <c r="F4289" s="46">
        <f>F4287+F4288</f>
        <v>10800</v>
      </c>
    </row>
    <row r="4290" ht="13.5" customHeight="1">
      <c r="D4290" s="7"/>
      <c r="E4290" s="9"/>
      <c r="F4290" s="9"/>
    </row>
    <row r="4291" ht="13.5" customHeight="1">
      <c r="A4291" s="14" t="s">
        <v>62</v>
      </c>
      <c r="D4291" s="7"/>
      <c r="E4291" s="9"/>
      <c r="F4291" s="9"/>
    </row>
    <row r="4292" ht="13.5" customHeight="1">
      <c r="A4292" s="18" t="s">
        <v>15</v>
      </c>
      <c r="B4292" s="18" t="s">
        <v>17</v>
      </c>
      <c r="C4292" s="18" t="s">
        <v>18</v>
      </c>
      <c r="D4292" s="18" t="s">
        <v>19</v>
      </c>
      <c r="E4292" s="18" t="s">
        <v>20</v>
      </c>
      <c r="F4292" s="18" t="s">
        <v>21</v>
      </c>
    </row>
    <row r="4293" ht="13.5" customHeight="1">
      <c r="A4293" s="21" t="s">
        <v>22</v>
      </c>
      <c r="B4293" s="21" t="s">
        <v>394</v>
      </c>
      <c r="C4293" s="21" t="s">
        <v>51</v>
      </c>
      <c r="D4293" s="144">
        <f>ROUND(1/B4269,2)</f>
        <v>0.08</v>
      </c>
      <c r="E4293" s="21">
        <v>45000.0</v>
      </c>
      <c r="F4293" s="33">
        <f>ROUND(IFERROR(D4293*E4293,0),0)</f>
        <v>3600</v>
      </c>
    </row>
    <row r="4294" ht="13.5" customHeight="1">
      <c r="A4294" s="21"/>
      <c r="B4294" s="21"/>
      <c r="C4294" s="21"/>
      <c r="D4294" s="144"/>
      <c r="E4294" s="21"/>
      <c r="F4294" s="33"/>
    </row>
    <row r="4295" ht="13.5" customHeight="1">
      <c r="D4295" s="7"/>
      <c r="E4295" s="14" t="s">
        <v>37</v>
      </c>
      <c r="F4295" s="46">
        <f>SUM(F4293:F4294)</f>
        <v>3600</v>
      </c>
    </row>
    <row r="4296" ht="13.5" customHeight="1">
      <c r="D4296" s="7"/>
      <c r="E4296" s="9"/>
      <c r="F4296" s="9"/>
    </row>
    <row r="4297" ht="13.5" customHeight="1">
      <c r="A4297" s="14" t="s">
        <v>74</v>
      </c>
      <c r="D4297" s="7"/>
      <c r="E4297" s="9"/>
      <c r="F4297" s="9"/>
    </row>
    <row r="4298" ht="13.5" customHeight="1">
      <c r="A4298" s="18"/>
      <c r="B4298" s="18" t="s">
        <v>17</v>
      </c>
      <c r="C4298" s="18" t="s">
        <v>18</v>
      </c>
      <c r="D4298" s="18" t="s">
        <v>19</v>
      </c>
      <c r="E4298" s="18" t="s">
        <v>20</v>
      </c>
      <c r="F4298" s="18" t="s">
        <v>21</v>
      </c>
    </row>
    <row r="4299" ht="13.5" customHeight="1">
      <c r="D4299" s="7"/>
      <c r="E4299" s="14" t="s">
        <v>77</v>
      </c>
      <c r="F4299" s="46">
        <f>F4281+F4289+F4295</f>
        <v>84800</v>
      </c>
    </row>
    <row r="4300" ht="13.5" customHeight="1">
      <c r="D4300" s="7"/>
      <c r="E4300" s="14" t="s">
        <v>6</v>
      </c>
      <c r="F4300" s="46">
        <f>ROUND(F4299*F4270,0)</f>
        <v>12720</v>
      </c>
    </row>
    <row r="4301" ht="13.5" customHeight="1">
      <c r="D4301" s="7"/>
      <c r="E4301" s="14" t="s">
        <v>8</v>
      </c>
      <c r="F4301" s="46">
        <f>ROUND(F4299*F4271,0)</f>
        <v>16960</v>
      </c>
    </row>
    <row r="4302" ht="13.5" customHeight="1">
      <c r="D4302" s="7"/>
      <c r="E4302" s="14" t="s">
        <v>81</v>
      </c>
      <c r="F4302" s="46">
        <f>F4299+F4300+F4301</f>
        <v>114480</v>
      </c>
    </row>
    <row r="4303" ht="13.5" customHeight="1">
      <c r="D4303" s="7"/>
      <c r="E4303" s="14" t="s">
        <v>82</v>
      </c>
      <c r="F4303" s="46">
        <f>ROUND(F4302*F4272,0)</f>
        <v>21751</v>
      </c>
    </row>
    <row r="4304" ht="13.5" customHeight="1">
      <c r="D4304" s="14" t="s">
        <v>425</v>
      </c>
      <c r="E4304" s="18" t="s">
        <v>84</v>
      </c>
      <c r="F4304" s="53">
        <f>F4302+F4303</f>
        <v>136231</v>
      </c>
    </row>
    <row r="4305" ht="13.5" customHeight="1"/>
    <row r="4306" ht="13.5" customHeight="1"/>
    <row r="4307" ht="13.5" customHeight="1"/>
    <row r="4308" ht="13.5" customHeight="1"/>
    <row r="4309" ht="13.5" customHeight="1"/>
    <row r="4310" ht="13.5" customHeight="1"/>
    <row r="4311" ht="13.5" customHeight="1"/>
    <row r="4312" ht="13.5" customHeight="1"/>
    <row r="4313" ht="13.5" customHeight="1">
      <c r="A4313" s="3" t="s">
        <v>1</v>
      </c>
      <c r="B4313" s="5">
        <v>12.0</v>
      </c>
      <c r="C4313" s="3" t="s">
        <v>2</v>
      </c>
      <c r="D4313" s="7"/>
      <c r="E4313" s="3" t="s">
        <v>3</v>
      </c>
      <c r="F4313" s="9"/>
    </row>
    <row r="4314" ht="13.5" customHeight="1">
      <c r="A4314" s="3" t="s">
        <v>4</v>
      </c>
      <c r="B4314" s="5" t="s">
        <v>30</v>
      </c>
      <c r="D4314" s="7"/>
      <c r="E4314" s="3" t="s">
        <v>6</v>
      </c>
      <c r="F4314" s="10">
        <v>0.15</v>
      </c>
    </row>
    <row r="4315" ht="13.5" customHeight="1">
      <c r="D4315" s="7"/>
      <c r="E4315" s="3" t="s">
        <v>8</v>
      </c>
      <c r="F4315" s="10">
        <v>0.2</v>
      </c>
    </row>
    <row r="4316" ht="13.5" customHeight="1">
      <c r="B4316" s="5" t="s">
        <v>644</v>
      </c>
      <c r="D4316" s="7"/>
      <c r="E4316" s="3" t="s">
        <v>10</v>
      </c>
      <c r="F4316" s="10">
        <v>0.19</v>
      </c>
    </row>
    <row r="4317" ht="13.5" customHeight="1">
      <c r="A4317" s="14" t="s">
        <v>11</v>
      </c>
      <c r="D4317" s="7"/>
      <c r="E4317" s="9"/>
      <c r="F4317" s="9"/>
    </row>
    <row r="4318" ht="13.5" customHeight="1">
      <c r="A4318" s="18" t="s">
        <v>15</v>
      </c>
      <c r="B4318" s="18" t="s">
        <v>17</v>
      </c>
      <c r="C4318" s="18" t="s">
        <v>18</v>
      </c>
      <c r="D4318" s="18" t="s">
        <v>19</v>
      </c>
      <c r="E4318" s="18" t="s">
        <v>20</v>
      </c>
      <c r="F4318" s="18" t="s">
        <v>21</v>
      </c>
    </row>
    <row r="4319" ht="13.5" customHeight="1">
      <c r="A4319" s="21" t="s">
        <v>22</v>
      </c>
      <c r="B4319" s="21" t="s">
        <v>645</v>
      </c>
      <c r="C4319" s="21" t="s">
        <v>5</v>
      </c>
      <c r="D4319" s="21">
        <f>+ROUND(5.015,2)</f>
        <v>5.02</v>
      </c>
      <c r="E4319" s="21">
        <v>30000.0</v>
      </c>
      <c r="F4319" s="33">
        <f t="shared" ref="F4319:F4321" si="205">ROUND(IFERROR(D4319*E4319,0),0)</f>
        <v>150600</v>
      </c>
    </row>
    <row r="4320" ht="13.5" customHeight="1">
      <c r="A4320" s="21" t="s">
        <v>27</v>
      </c>
      <c r="B4320" s="21" t="s">
        <v>640</v>
      </c>
      <c r="C4320" s="21" t="s">
        <v>30</v>
      </c>
      <c r="D4320" s="21">
        <v>1.0</v>
      </c>
      <c r="E4320" s="21">
        <v>8000.0</v>
      </c>
      <c r="F4320" s="33">
        <f t="shared" si="205"/>
        <v>8000</v>
      </c>
    </row>
    <row r="4321" ht="13.5" customHeight="1">
      <c r="A4321" s="21" t="s">
        <v>32</v>
      </c>
      <c r="B4321" s="21" t="s">
        <v>641</v>
      </c>
      <c r="C4321" s="21" t="s">
        <v>34</v>
      </c>
      <c r="D4321" s="21">
        <v>1.0</v>
      </c>
      <c r="E4321" s="279">
        <v>1200.0</v>
      </c>
      <c r="F4321" s="33">
        <f t="shared" si="205"/>
        <v>1200</v>
      </c>
    </row>
    <row r="4322" ht="13.5" customHeight="1">
      <c r="A4322" s="21" t="s">
        <v>99</v>
      </c>
      <c r="B4322" s="21"/>
      <c r="C4322" s="21"/>
      <c r="D4322" s="21"/>
      <c r="E4322" s="279"/>
      <c r="F4322" s="33"/>
    </row>
    <row r="4323" ht="13.5" customHeight="1">
      <c r="A4323" s="21"/>
      <c r="B4323" s="21"/>
      <c r="C4323" s="21"/>
      <c r="D4323" s="21"/>
      <c r="E4323" s="279"/>
      <c r="F4323" s="33"/>
    </row>
    <row r="4324" ht="13.5" customHeight="1">
      <c r="A4324" s="21"/>
      <c r="B4324" s="21"/>
      <c r="C4324" s="21"/>
      <c r="D4324" s="21"/>
      <c r="E4324" s="279"/>
      <c r="F4324" s="33"/>
    </row>
    <row r="4325" ht="13.5" customHeight="1">
      <c r="D4325" s="7"/>
      <c r="E4325" s="14" t="s">
        <v>37</v>
      </c>
      <c r="F4325" s="46">
        <f>SUM(F4319:F4324)</f>
        <v>159800</v>
      </c>
    </row>
    <row r="4326" ht="13.5" customHeight="1">
      <c r="D4326" s="7"/>
      <c r="E4326" s="9"/>
      <c r="F4326" s="9"/>
    </row>
    <row r="4327" ht="13.5" customHeight="1">
      <c r="A4327" s="14" t="s">
        <v>44</v>
      </c>
      <c r="D4327" s="7"/>
      <c r="E4327" s="9"/>
      <c r="F4327" s="9"/>
    </row>
    <row r="4328" ht="13.5" customHeight="1">
      <c r="A4328" s="18" t="s">
        <v>15</v>
      </c>
      <c r="B4328" s="18" t="s">
        <v>17</v>
      </c>
      <c r="C4328" s="18" t="s">
        <v>18</v>
      </c>
      <c r="D4328" s="18" t="s">
        <v>19</v>
      </c>
      <c r="E4328" s="18" t="s">
        <v>20</v>
      </c>
      <c r="F4328" s="18" t="s">
        <v>21</v>
      </c>
    </row>
    <row r="4329" ht="13.5" customHeight="1">
      <c r="A4329" s="21" t="s">
        <v>22</v>
      </c>
      <c r="B4329" s="21" t="s">
        <v>345</v>
      </c>
      <c r="C4329" s="21" t="s">
        <v>51</v>
      </c>
      <c r="D4329" s="187">
        <f>ROUND(1/B4313,2)</f>
        <v>0.08</v>
      </c>
      <c r="E4329" s="21">
        <v>65000.0</v>
      </c>
      <c r="F4329" s="33">
        <f t="shared" ref="F4329:F4330" si="206">ROUND(IFERROR(D4329*E4329,0),0)</f>
        <v>5200</v>
      </c>
    </row>
    <row r="4330" ht="13.5" customHeight="1">
      <c r="A4330" s="21" t="s">
        <v>27</v>
      </c>
      <c r="B4330" s="21" t="s">
        <v>54</v>
      </c>
      <c r="C4330" s="21" t="s">
        <v>51</v>
      </c>
      <c r="D4330" s="187">
        <v>0.04</v>
      </c>
      <c r="E4330" s="21">
        <v>50000.0</v>
      </c>
      <c r="F4330" s="33">
        <f t="shared" si="206"/>
        <v>2000</v>
      </c>
    </row>
    <row r="4331" ht="13.5" customHeight="1">
      <c r="D4331" s="7"/>
      <c r="E4331" s="14" t="s">
        <v>37</v>
      </c>
      <c r="F4331" s="46">
        <f>SUM(F4329:F4330)</f>
        <v>7200</v>
      </c>
    </row>
    <row r="4332" ht="13.5" customHeight="1">
      <c r="D4332" s="7"/>
      <c r="E4332" s="14" t="s">
        <v>59</v>
      </c>
      <c r="F4332" s="46">
        <f>ROUND(F4331*0.5,0)</f>
        <v>3600</v>
      </c>
    </row>
    <row r="4333" ht="13.5" customHeight="1">
      <c r="D4333" s="7"/>
      <c r="E4333" s="14" t="s">
        <v>60</v>
      </c>
      <c r="F4333" s="46">
        <f>F4331+F4332</f>
        <v>10800</v>
      </c>
    </row>
    <row r="4334" ht="13.5" customHeight="1">
      <c r="D4334" s="7"/>
      <c r="E4334" s="9"/>
      <c r="F4334" s="48"/>
    </row>
    <row r="4335" ht="13.5" customHeight="1">
      <c r="A4335" s="14" t="s">
        <v>62</v>
      </c>
      <c r="D4335" s="7"/>
      <c r="E4335" s="9"/>
      <c r="F4335" s="9"/>
    </row>
    <row r="4336" ht="13.5" customHeight="1">
      <c r="A4336" s="18" t="s">
        <v>15</v>
      </c>
      <c r="B4336" s="18" t="s">
        <v>17</v>
      </c>
      <c r="C4336" s="18" t="s">
        <v>18</v>
      </c>
      <c r="D4336" s="18" t="s">
        <v>19</v>
      </c>
      <c r="E4336" s="18" t="s">
        <v>20</v>
      </c>
      <c r="F4336" s="18" t="s">
        <v>21</v>
      </c>
    </row>
    <row r="4337" ht="13.5" customHeight="1">
      <c r="A4337" s="21" t="s">
        <v>22</v>
      </c>
      <c r="B4337" s="21" t="s">
        <v>394</v>
      </c>
      <c r="C4337" s="21" t="s">
        <v>51</v>
      </c>
      <c r="D4337" s="144">
        <f>ROUND(1/B4313,2)</f>
        <v>0.08</v>
      </c>
      <c r="E4337" s="21">
        <v>45000.0</v>
      </c>
      <c r="F4337" s="33">
        <f>ROUND(IFERROR(D4337*E4337,0),0)</f>
        <v>3600</v>
      </c>
    </row>
    <row r="4338" ht="13.5" customHeight="1">
      <c r="A4338" s="21"/>
      <c r="B4338" s="21"/>
      <c r="C4338" s="21"/>
      <c r="D4338" s="144"/>
      <c r="E4338" s="21"/>
      <c r="F4338" s="33"/>
    </row>
    <row r="4339" ht="13.5" customHeight="1">
      <c r="D4339" s="7"/>
      <c r="E4339" s="14" t="s">
        <v>37</v>
      </c>
      <c r="F4339" s="46">
        <f>SUM(F4337:F4338)</f>
        <v>3600</v>
      </c>
    </row>
    <row r="4340" ht="13.5" customHeight="1">
      <c r="D4340" s="7"/>
      <c r="E4340" s="9"/>
      <c r="F4340" s="9"/>
    </row>
    <row r="4341" ht="13.5" customHeight="1">
      <c r="A4341" s="14" t="s">
        <v>74</v>
      </c>
      <c r="D4341" s="7"/>
      <c r="E4341" s="9"/>
      <c r="F4341" s="9"/>
    </row>
    <row r="4342" ht="13.5" customHeight="1">
      <c r="A4342" s="18"/>
      <c r="B4342" s="18" t="s">
        <v>17</v>
      </c>
      <c r="C4342" s="18" t="s">
        <v>18</v>
      </c>
      <c r="D4342" s="18" t="s">
        <v>19</v>
      </c>
      <c r="E4342" s="18" t="s">
        <v>20</v>
      </c>
      <c r="F4342" s="18" t="s">
        <v>21</v>
      </c>
    </row>
    <row r="4343" ht="13.5" customHeight="1">
      <c r="D4343" s="7"/>
      <c r="E4343" s="14" t="s">
        <v>77</v>
      </c>
      <c r="F4343" s="46">
        <f>F4325+F4333+F4339</f>
        <v>174200</v>
      </c>
    </row>
    <row r="4344" ht="13.5" customHeight="1">
      <c r="D4344" s="7"/>
      <c r="E4344" s="14" t="s">
        <v>6</v>
      </c>
      <c r="F4344" s="46">
        <f>ROUND(F4343*F4314,0)</f>
        <v>26130</v>
      </c>
    </row>
    <row r="4345" ht="13.5" customHeight="1">
      <c r="D4345" s="7"/>
      <c r="E4345" s="14" t="s">
        <v>8</v>
      </c>
      <c r="F4345" s="46">
        <f>ROUND(F4343*F4315,0)</f>
        <v>34840</v>
      </c>
    </row>
    <row r="4346" ht="13.5" customHeight="1">
      <c r="D4346" s="7"/>
      <c r="E4346" s="14" t="s">
        <v>81</v>
      </c>
      <c r="F4346" s="46">
        <f>F4343+F4344+F4345</f>
        <v>235170</v>
      </c>
    </row>
    <row r="4347" ht="13.5" customHeight="1">
      <c r="D4347" s="7"/>
      <c r="E4347" s="14" t="s">
        <v>82</v>
      </c>
      <c r="F4347" s="46">
        <f>ROUND(F4346*F4316,0)</f>
        <v>44682</v>
      </c>
    </row>
    <row r="4348" ht="13.5" customHeight="1">
      <c r="D4348" s="14" t="s">
        <v>425</v>
      </c>
      <c r="E4348" s="18" t="s">
        <v>84</v>
      </c>
      <c r="F4348" s="53">
        <f>F4346+F4347</f>
        <v>279852</v>
      </c>
    </row>
    <row r="4349" ht="13.5" customHeight="1"/>
    <row r="4350" ht="13.5" customHeight="1"/>
    <row r="4351" ht="13.5" customHeight="1"/>
    <row r="4352" ht="13.5" customHeight="1"/>
    <row r="4353" ht="13.5" customHeight="1"/>
    <row r="4354" ht="13.5" customHeight="1"/>
    <row r="4355" ht="13.5" customHeight="1"/>
    <row r="4356" ht="13.5" customHeight="1"/>
    <row r="4357" ht="13.5" customHeight="1">
      <c r="A4357" s="3" t="s">
        <v>1</v>
      </c>
      <c r="B4357" s="5">
        <v>12.0</v>
      </c>
      <c r="C4357" s="3" t="s">
        <v>2</v>
      </c>
      <c r="D4357" s="7"/>
      <c r="E4357" s="3" t="s">
        <v>3</v>
      </c>
      <c r="F4357" s="9"/>
    </row>
    <row r="4358" ht="13.5" customHeight="1">
      <c r="A4358" s="3" t="s">
        <v>4</v>
      </c>
      <c r="B4358" s="5" t="s">
        <v>30</v>
      </c>
      <c r="D4358" s="7"/>
      <c r="E4358" s="3" t="s">
        <v>6</v>
      </c>
      <c r="F4358" s="10">
        <v>0.15</v>
      </c>
    </row>
    <row r="4359" ht="13.5" customHeight="1">
      <c r="D4359" s="7"/>
      <c r="E4359" s="3" t="s">
        <v>8</v>
      </c>
      <c r="F4359" s="10">
        <v>0.2</v>
      </c>
    </row>
    <row r="4360" ht="13.5" customHeight="1">
      <c r="B4360" s="5" t="s">
        <v>646</v>
      </c>
      <c r="D4360" s="7"/>
      <c r="E4360" s="3" t="s">
        <v>10</v>
      </c>
      <c r="F4360" s="10">
        <v>0.19</v>
      </c>
    </row>
    <row r="4361" ht="13.5" customHeight="1">
      <c r="A4361" s="14" t="s">
        <v>11</v>
      </c>
      <c r="D4361" s="7"/>
      <c r="E4361" s="9"/>
      <c r="F4361" s="9"/>
    </row>
    <row r="4362" ht="13.5" customHeight="1">
      <c r="A4362" s="18" t="s">
        <v>15</v>
      </c>
      <c r="B4362" s="18" t="s">
        <v>17</v>
      </c>
      <c r="C4362" s="18" t="s">
        <v>18</v>
      </c>
      <c r="D4362" s="18" t="s">
        <v>19</v>
      </c>
      <c r="E4362" s="18" t="s">
        <v>20</v>
      </c>
      <c r="F4362" s="18" t="s">
        <v>21</v>
      </c>
    </row>
    <row r="4363" ht="13.5" customHeight="1">
      <c r="A4363" s="21" t="s">
        <v>22</v>
      </c>
      <c r="B4363" s="21" t="s">
        <v>647</v>
      </c>
      <c r="C4363" s="21" t="s">
        <v>5</v>
      </c>
      <c r="D4363" s="21">
        <f>+ROUND(1.275,2)</f>
        <v>1.28</v>
      </c>
      <c r="E4363" s="21">
        <v>30000.0</v>
      </c>
      <c r="F4363" s="33">
        <f t="shared" ref="F4363:F4365" si="207">ROUND(IFERROR(D4363*E4363,0),0)</f>
        <v>38400</v>
      </c>
    </row>
    <row r="4364" ht="13.5" customHeight="1">
      <c r="A4364" s="21" t="s">
        <v>27</v>
      </c>
      <c r="B4364" s="21" t="s">
        <v>640</v>
      </c>
      <c r="C4364" s="21" t="s">
        <v>30</v>
      </c>
      <c r="D4364" s="21">
        <v>1.0</v>
      </c>
      <c r="E4364" s="21">
        <v>8000.0</v>
      </c>
      <c r="F4364" s="33">
        <f t="shared" si="207"/>
        <v>8000</v>
      </c>
    </row>
    <row r="4365" ht="13.5" customHeight="1">
      <c r="A4365" s="21" t="s">
        <v>32</v>
      </c>
      <c r="B4365" s="21" t="s">
        <v>641</v>
      </c>
      <c r="C4365" s="21" t="s">
        <v>34</v>
      </c>
      <c r="D4365" s="21">
        <v>1.0</v>
      </c>
      <c r="E4365" s="279">
        <v>1200.0</v>
      </c>
      <c r="F4365" s="33">
        <f t="shared" si="207"/>
        <v>1200</v>
      </c>
    </row>
    <row r="4366" ht="13.5" customHeight="1">
      <c r="A4366" s="21" t="s">
        <v>99</v>
      </c>
      <c r="B4366" s="21"/>
      <c r="C4366" s="21"/>
      <c r="D4366" s="21"/>
      <c r="E4366" s="279"/>
      <c r="F4366" s="33"/>
    </row>
    <row r="4367" ht="13.5" customHeight="1">
      <c r="A4367" s="21"/>
      <c r="B4367" s="21"/>
      <c r="C4367" s="21"/>
      <c r="D4367" s="21"/>
      <c r="E4367" s="279"/>
      <c r="F4367" s="33"/>
    </row>
    <row r="4368" ht="13.5" customHeight="1">
      <c r="A4368" s="21"/>
      <c r="B4368" s="21"/>
      <c r="C4368" s="21"/>
      <c r="D4368" s="21"/>
      <c r="E4368" s="279"/>
      <c r="F4368" s="33"/>
    </row>
    <row r="4369" ht="13.5" customHeight="1">
      <c r="D4369" s="7"/>
      <c r="E4369" s="14" t="s">
        <v>37</v>
      </c>
      <c r="F4369" s="46">
        <f>SUM(F4363:F4368)</f>
        <v>47600</v>
      </c>
    </row>
    <row r="4370" ht="13.5" customHeight="1">
      <c r="D4370" s="7"/>
      <c r="E4370" s="9"/>
      <c r="F4370" s="9"/>
    </row>
    <row r="4371" ht="13.5" customHeight="1">
      <c r="A4371" s="14" t="s">
        <v>44</v>
      </c>
      <c r="D4371" s="7"/>
      <c r="E4371" s="9"/>
      <c r="F4371" s="9"/>
    </row>
    <row r="4372" ht="13.5" customHeight="1">
      <c r="A4372" s="18" t="s">
        <v>15</v>
      </c>
      <c r="B4372" s="18" t="s">
        <v>17</v>
      </c>
      <c r="C4372" s="18" t="s">
        <v>18</v>
      </c>
      <c r="D4372" s="18" t="s">
        <v>19</v>
      </c>
      <c r="E4372" s="18" t="s">
        <v>20</v>
      </c>
      <c r="F4372" s="18" t="s">
        <v>21</v>
      </c>
    </row>
    <row r="4373" ht="13.5" customHeight="1">
      <c r="A4373" s="21" t="s">
        <v>22</v>
      </c>
      <c r="B4373" s="21" t="s">
        <v>345</v>
      </c>
      <c r="C4373" s="21" t="s">
        <v>51</v>
      </c>
      <c r="D4373" s="187">
        <f>ROUND(1/B4357,2)</f>
        <v>0.08</v>
      </c>
      <c r="E4373" s="21">
        <v>65000.0</v>
      </c>
      <c r="F4373" s="33">
        <f t="shared" ref="F4373:F4374" si="208">ROUND(IFERROR(D4373*E4373,0),0)</f>
        <v>5200</v>
      </c>
    </row>
    <row r="4374" ht="13.5" customHeight="1">
      <c r="A4374" s="21" t="s">
        <v>27</v>
      </c>
      <c r="B4374" s="21" t="s">
        <v>54</v>
      </c>
      <c r="C4374" s="21" t="s">
        <v>51</v>
      </c>
      <c r="D4374" s="187">
        <v>0.04</v>
      </c>
      <c r="E4374" s="21">
        <v>50000.0</v>
      </c>
      <c r="F4374" s="33">
        <f t="shared" si="208"/>
        <v>2000</v>
      </c>
    </row>
    <row r="4375" ht="13.5" customHeight="1">
      <c r="D4375" s="7"/>
      <c r="E4375" s="14" t="s">
        <v>37</v>
      </c>
      <c r="F4375" s="46">
        <f>SUM(F4373:F4374)</f>
        <v>7200</v>
      </c>
    </row>
    <row r="4376" ht="13.5" customHeight="1">
      <c r="D4376" s="7"/>
      <c r="E4376" s="14" t="s">
        <v>59</v>
      </c>
      <c r="F4376" s="46">
        <f>ROUND(F4375*0.5,0)</f>
        <v>3600</v>
      </c>
    </row>
    <row r="4377" ht="13.5" customHeight="1">
      <c r="D4377" s="7"/>
      <c r="E4377" s="14" t="s">
        <v>60</v>
      </c>
      <c r="F4377" s="46">
        <f>F4375+F4376</f>
        <v>10800</v>
      </c>
    </row>
    <row r="4378" ht="13.5" customHeight="1">
      <c r="D4378" s="7"/>
      <c r="E4378" s="9"/>
      <c r="F4378" s="9"/>
    </row>
    <row r="4379" ht="13.5" customHeight="1">
      <c r="A4379" s="14" t="s">
        <v>62</v>
      </c>
      <c r="D4379" s="7"/>
      <c r="E4379" s="9"/>
      <c r="F4379" s="9"/>
    </row>
    <row r="4380" ht="13.5" customHeight="1">
      <c r="A4380" s="18" t="s">
        <v>15</v>
      </c>
      <c r="B4380" s="18" t="s">
        <v>17</v>
      </c>
      <c r="C4380" s="18" t="s">
        <v>18</v>
      </c>
      <c r="D4380" s="18" t="s">
        <v>19</v>
      </c>
      <c r="E4380" s="18" t="s">
        <v>20</v>
      </c>
      <c r="F4380" s="18" t="s">
        <v>21</v>
      </c>
    </row>
    <row r="4381" ht="13.5" customHeight="1">
      <c r="A4381" s="21" t="s">
        <v>22</v>
      </c>
      <c r="B4381" s="21" t="s">
        <v>394</v>
      </c>
      <c r="C4381" s="21" t="s">
        <v>51</v>
      </c>
      <c r="D4381" s="144">
        <f>ROUND(1/B4357,2)</f>
        <v>0.08</v>
      </c>
      <c r="E4381" s="21">
        <v>45000.0</v>
      </c>
      <c r="F4381" s="33">
        <f>ROUND(IFERROR(D4381*E4381,0),0)</f>
        <v>3600</v>
      </c>
    </row>
    <row r="4382" ht="13.5" customHeight="1">
      <c r="A4382" s="21"/>
      <c r="B4382" s="21"/>
      <c r="C4382" s="21"/>
      <c r="D4382" s="144"/>
      <c r="E4382" s="21"/>
      <c r="F4382" s="33"/>
    </row>
    <row r="4383" ht="13.5" customHeight="1">
      <c r="D4383" s="7"/>
      <c r="E4383" s="14" t="s">
        <v>37</v>
      </c>
      <c r="F4383" s="46">
        <f>SUM(F4381:F4382)</f>
        <v>3600</v>
      </c>
    </row>
    <row r="4384" ht="13.5" customHeight="1">
      <c r="D4384" s="7"/>
      <c r="E4384" s="9"/>
      <c r="F4384" s="9"/>
    </row>
    <row r="4385" ht="13.5" customHeight="1">
      <c r="A4385" s="14" t="s">
        <v>74</v>
      </c>
      <c r="D4385" s="7"/>
      <c r="E4385" s="9"/>
      <c r="F4385" s="9"/>
    </row>
    <row r="4386" ht="13.5" customHeight="1">
      <c r="A4386" s="18"/>
      <c r="B4386" s="18" t="s">
        <v>17</v>
      </c>
      <c r="C4386" s="18" t="s">
        <v>18</v>
      </c>
      <c r="D4386" s="18" t="s">
        <v>19</v>
      </c>
      <c r="E4386" s="18" t="s">
        <v>20</v>
      </c>
      <c r="F4386" s="18" t="s">
        <v>21</v>
      </c>
    </row>
    <row r="4387" ht="13.5" customHeight="1">
      <c r="D4387" s="7"/>
      <c r="E4387" s="14" t="s">
        <v>77</v>
      </c>
      <c r="F4387" s="46">
        <f>F4369+F4377+F4383</f>
        <v>62000</v>
      </c>
    </row>
    <row r="4388" ht="13.5" customHeight="1">
      <c r="D4388" s="7"/>
      <c r="E4388" s="14" t="s">
        <v>6</v>
      </c>
      <c r="F4388" s="46">
        <f>ROUND(F4387*F4358,0)</f>
        <v>9300</v>
      </c>
    </row>
    <row r="4389" ht="13.5" customHeight="1">
      <c r="D4389" s="7"/>
      <c r="E4389" s="14" t="s">
        <v>8</v>
      </c>
      <c r="F4389" s="46">
        <f>ROUND(F4387*F4359,0)</f>
        <v>12400</v>
      </c>
    </row>
    <row r="4390" ht="13.5" customHeight="1">
      <c r="D4390" s="7"/>
      <c r="E4390" s="14" t="s">
        <v>81</v>
      </c>
      <c r="F4390" s="46">
        <f>F4387+F4388+F4389</f>
        <v>83700</v>
      </c>
    </row>
    <row r="4391" ht="13.5" customHeight="1">
      <c r="D4391" s="7"/>
      <c r="E4391" s="14" t="s">
        <v>82</v>
      </c>
      <c r="F4391" s="46">
        <f>ROUND(F4390*F4360,0)</f>
        <v>15903</v>
      </c>
    </row>
    <row r="4392" ht="13.5" customHeight="1">
      <c r="D4392" s="14" t="s">
        <v>425</v>
      </c>
      <c r="E4392" s="18" t="s">
        <v>84</v>
      </c>
      <c r="F4392" s="53">
        <f>F4390+F4391</f>
        <v>99603</v>
      </c>
    </row>
    <row r="4393" ht="13.5" customHeight="1"/>
    <row r="4394" ht="13.5" customHeight="1"/>
    <row r="4395" ht="13.5" customHeight="1"/>
    <row r="4396" ht="13.5" customHeight="1"/>
    <row r="4397" ht="13.5" customHeight="1"/>
    <row r="4398" ht="13.5" customHeight="1"/>
    <row r="4399" ht="13.5" customHeight="1"/>
    <row r="4400" ht="13.5" customHeight="1"/>
    <row r="4401" ht="13.5" customHeight="1">
      <c r="A4401" s="3" t="s">
        <v>1</v>
      </c>
      <c r="B4401" s="5">
        <v>12.0</v>
      </c>
      <c r="C4401" s="3" t="s">
        <v>2</v>
      </c>
      <c r="D4401" s="7"/>
      <c r="E4401" s="3" t="s">
        <v>3</v>
      </c>
      <c r="F4401" s="9"/>
    </row>
    <row r="4402" ht="13.5" customHeight="1">
      <c r="A4402" s="3" t="s">
        <v>4</v>
      </c>
      <c r="B4402" s="5" t="s">
        <v>30</v>
      </c>
      <c r="D4402" s="7"/>
      <c r="E4402" s="3" t="s">
        <v>6</v>
      </c>
      <c r="F4402" s="10">
        <v>0.15</v>
      </c>
    </row>
    <row r="4403" ht="13.5" customHeight="1">
      <c r="D4403" s="7"/>
      <c r="E4403" s="3" t="s">
        <v>8</v>
      </c>
      <c r="F4403" s="10">
        <v>0.2</v>
      </c>
    </row>
    <row r="4404" ht="13.5" customHeight="1">
      <c r="B4404" s="5" t="s">
        <v>648</v>
      </c>
      <c r="D4404" s="7"/>
      <c r="E4404" s="3" t="s">
        <v>10</v>
      </c>
      <c r="F4404" s="10">
        <v>0.19</v>
      </c>
    </row>
    <row r="4405" ht="13.5" customHeight="1">
      <c r="A4405" s="14" t="s">
        <v>11</v>
      </c>
      <c r="D4405" s="7"/>
      <c r="E4405" s="9"/>
      <c r="F4405" s="9"/>
    </row>
    <row r="4406" ht="13.5" customHeight="1">
      <c r="A4406" s="18" t="s">
        <v>15</v>
      </c>
      <c r="B4406" s="18" t="s">
        <v>17</v>
      </c>
      <c r="C4406" s="18" t="s">
        <v>18</v>
      </c>
      <c r="D4406" s="18" t="s">
        <v>19</v>
      </c>
      <c r="E4406" s="18" t="s">
        <v>20</v>
      </c>
      <c r="F4406" s="18" t="s">
        <v>21</v>
      </c>
    </row>
    <row r="4407" ht="13.5" customHeight="1">
      <c r="A4407" s="21" t="s">
        <v>22</v>
      </c>
      <c r="B4407" s="21" t="s">
        <v>649</v>
      </c>
      <c r="C4407" s="21" t="s">
        <v>5</v>
      </c>
      <c r="D4407" s="21">
        <v>2.89</v>
      </c>
      <c r="E4407" s="21">
        <v>30000.0</v>
      </c>
      <c r="F4407" s="33">
        <f t="shared" ref="F4407:F4409" si="209">ROUND(IFERROR(D4407*E4407,0),0)</f>
        <v>86700</v>
      </c>
    </row>
    <row r="4408" ht="13.5" customHeight="1">
      <c r="A4408" s="21" t="s">
        <v>27</v>
      </c>
      <c r="B4408" s="21" t="s">
        <v>640</v>
      </c>
      <c r="C4408" s="21" t="s">
        <v>30</v>
      </c>
      <c r="D4408" s="21">
        <v>1.0</v>
      </c>
      <c r="E4408" s="21">
        <v>8000.0</v>
      </c>
      <c r="F4408" s="33">
        <f t="shared" si="209"/>
        <v>8000</v>
      </c>
    </row>
    <row r="4409" ht="13.5" customHeight="1">
      <c r="A4409" s="21" t="s">
        <v>32</v>
      </c>
      <c r="B4409" s="21" t="s">
        <v>641</v>
      </c>
      <c r="C4409" s="21" t="s">
        <v>34</v>
      </c>
      <c r="D4409" s="21">
        <v>1.0</v>
      </c>
      <c r="E4409" s="279">
        <v>1200.0</v>
      </c>
      <c r="F4409" s="33">
        <f t="shared" si="209"/>
        <v>1200</v>
      </c>
    </row>
    <row r="4410" ht="13.5" customHeight="1">
      <c r="A4410" s="21" t="s">
        <v>99</v>
      </c>
      <c r="B4410" s="21"/>
      <c r="C4410" s="21"/>
      <c r="D4410" s="21"/>
      <c r="E4410" s="279"/>
      <c r="F4410" s="33"/>
    </row>
    <row r="4411" ht="13.5" customHeight="1">
      <c r="A4411" s="21"/>
      <c r="B4411" s="21"/>
      <c r="C4411" s="21"/>
      <c r="D4411" s="21"/>
      <c r="E4411" s="279"/>
      <c r="F4411" s="33"/>
    </row>
    <row r="4412" ht="13.5" customHeight="1">
      <c r="A4412" s="21"/>
      <c r="B4412" s="21"/>
      <c r="C4412" s="21"/>
      <c r="D4412" s="21"/>
      <c r="E4412" s="279"/>
      <c r="F4412" s="33"/>
    </row>
    <row r="4413" ht="13.5" customHeight="1">
      <c r="D4413" s="7"/>
      <c r="E4413" s="14" t="s">
        <v>37</v>
      </c>
      <c r="F4413" s="46">
        <f>SUM(F4407:F4412)</f>
        <v>95900</v>
      </c>
    </row>
    <row r="4414" ht="13.5" customHeight="1">
      <c r="D4414" s="7"/>
      <c r="E4414" s="9"/>
      <c r="F4414" s="9"/>
    </row>
    <row r="4415" ht="13.5" customHeight="1">
      <c r="A4415" s="14" t="s">
        <v>44</v>
      </c>
      <c r="D4415" s="7"/>
      <c r="E4415" s="9"/>
      <c r="F4415" s="9"/>
    </row>
    <row r="4416" ht="13.5" customHeight="1">
      <c r="A4416" s="18" t="s">
        <v>15</v>
      </c>
      <c r="B4416" s="18" t="s">
        <v>17</v>
      </c>
      <c r="C4416" s="18" t="s">
        <v>18</v>
      </c>
      <c r="D4416" s="18" t="s">
        <v>19</v>
      </c>
      <c r="E4416" s="18" t="s">
        <v>20</v>
      </c>
      <c r="F4416" s="18" t="s">
        <v>21</v>
      </c>
    </row>
    <row r="4417" ht="13.5" customHeight="1">
      <c r="A4417" s="21" t="s">
        <v>22</v>
      </c>
      <c r="B4417" s="21" t="s">
        <v>345</v>
      </c>
      <c r="C4417" s="21" t="s">
        <v>51</v>
      </c>
      <c r="D4417" s="187">
        <f>ROUND(1/B4401,2)</f>
        <v>0.08</v>
      </c>
      <c r="E4417" s="21">
        <v>65000.0</v>
      </c>
      <c r="F4417" s="33">
        <f t="shared" ref="F4417:F4418" si="210">ROUND(IFERROR(D4417*E4417,0),0)</f>
        <v>5200</v>
      </c>
    </row>
    <row r="4418" ht="13.5" customHeight="1">
      <c r="A4418" s="21" t="s">
        <v>27</v>
      </c>
      <c r="B4418" s="21" t="s">
        <v>54</v>
      </c>
      <c r="C4418" s="21" t="s">
        <v>51</v>
      </c>
      <c r="D4418" s="187">
        <v>0.04</v>
      </c>
      <c r="E4418" s="21">
        <v>50000.0</v>
      </c>
      <c r="F4418" s="33">
        <f t="shared" si="210"/>
        <v>2000</v>
      </c>
    </row>
    <row r="4419" ht="13.5" customHeight="1">
      <c r="D4419" s="7"/>
      <c r="E4419" s="14" t="s">
        <v>37</v>
      </c>
      <c r="F4419" s="46">
        <f>SUM(F4417:F4418)</f>
        <v>7200</v>
      </c>
    </row>
    <row r="4420" ht="13.5" customHeight="1">
      <c r="D4420" s="7"/>
      <c r="E4420" s="14" t="s">
        <v>59</v>
      </c>
      <c r="F4420" s="46">
        <f>ROUND(F4419*0.5,0)</f>
        <v>3600</v>
      </c>
    </row>
    <row r="4421" ht="13.5" customHeight="1">
      <c r="D4421" s="7"/>
      <c r="E4421" s="14" t="s">
        <v>60</v>
      </c>
      <c r="F4421" s="46">
        <f>F4419+F4420</f>
        <v>10800</v>
      </c>
    </row>
    <row r="4422" ht="13.5" customHeight="1">
      <c r="D4422" s="7"/>
      <c r="E4422" s="9"/>
      <c r="F4422" s="9"/>
    </row>
    <row r="4423" ht="13.5" customHeight="1">
      <c r="A4423" s="14" t="s">
        <v>62</v>
      </c>
      <c r="D4423" s="7"/>
      <c r="E4423" s="9"/>
      <c r="F4423" s="9"/>
    </row>
    <row r="4424" ht="13.5" customHeight="1">
      <c r="A4424" s="18" t="s">
        <v>15</v>
      </c>
      <c r="B4424" s="18" t="s">
        <v>17</v>
      </c>
      <c r="C4424" s="18" t="s">
        <v>18</v>
      </c>
      <c r="D4424" s="18" t="s">
        <v>19</v>
      </c>
      <c r="E4424" s="18" t="s">
        <v>20</v>
      </c>
      <c r="F4424" s="18" t="s">
        <v>21</v>
      </c>
    </row>
    <row r="4425" ht="13.5" customHeight="1">
      <c r="A4425" s="21" t="s">
        <v>22</v>
      </c>
      <c r="B4425" s="21" t="s">
        <v>394</v>
      </c>
      <c r="C4425" s="21" t="s">
        <v>51</v>
      </c>
      <c r="D4425" s="144">
        <f>ROUND(1/B4401,2)</f>
        <v>0.08</v>
      </c>
      <c r="E4425" s="21">
        <v>45000.0</v>
      </c>
      <c r="F4425" s="33">
        <f>ROUND(IFERROR(D4425*E4425,0),0)</f>
        <v>3600</v>
      </c>
    </row>
    <row r="4426" ht="13.5" customHeight="1">
      <c r="A4426" s="21"/>
      <c r="B4426" s="21"/>
      <c r="C4426" s="21"/>
      <c r="D4426" s="144"/>
      <c r="E4426" s="21"/>
      <c r="F4426" s="33"/>
    </row>
    <row r="4427" ht="13.5" customHeight="1">
      <c r="D4427" s="7"/>
      <c r="E4427" s="14" t="s">
        <v>37</v>
      </c>
      <c r="F4427" s="46">
        <f>SUM(F4425:F4426)</f>
        <v>3600</v>
      </c>
    </row>
    <row r="4428" ht="13.5" customHeight="1">
      <c r="D4428" s="7"/>
      <c r="E4428" s="9"/>
      <c r="F4428" s="48"/>
    </row>
    <row r="4429" ht="13.5" customHeight="1">
      <c r="A4429" s="14" t="s">
        <v>74</v>
      </c>
      <c r="D4429" s="7"/>
      <c r="E4429" s="9"/>
      <c r="F4429" s="9"/>
    </row>
    <row r="4430" ht="13.5" customHeight="1">
      <c r="A4430" s="18"/>
      <c r="B4430" s="18" t="s">
        <v>17</v>
      </c>
      <c r="C4430" s="18" t="s">
        <v>18</v>
      </c>
      <c r="D4430" s="18" t="s">
        <v>19</v>
      </c>
      <c r="E4430" s="18" t="s">
        <v>20</v>
      </c>
      <c r="F4430" s="18" t="s">
        <v>21</v>
      </c>
    </row>
    <row r="4431" ht="13.5" customHeight="1">
      <c r="D4431" s="7"/>
      <c r="E4431" s="14" t="s">
        <v>77</v>
      </c>
      <c r="F4431" s="46">
        <f>F4413+F4421+F4427</f>
        <v>110300</v>
      </c>
    </row>
    <row r="4432" ht="13.5" customHeight="1">
      <c r="D4432" s="7"/>
      <c r="E4432" s="14" t="s">
        <v>6</v>
      </c>
      <c r="F4432" s="46">
        <f>ROUND(F4431*F4402,0)</f>
        <v>16545</v>
      </c>
    </row>
    <row r="4433" ht="13.5" customHeight="1">
      <c r="D4433" s="7"/>
      <c r="E4433" s="14" t="s">
        <v>8</v>
      </c>
      <c r="F4433" s="46">
        <f>ROUND(F4431*F4403,0)</f>
        <v>22060</v>
      </c>
    </row>
    <row r="4434" ht="13.5" customHeight="1">
      <c r="D4434" s="7"/>
      <c r="E4434" s="14" t="s">
        <v>81</v>
      </c>
      <c r="F4434" s="46">
        <f>F4431+F4432+F4433</f>
        <v>148905</v>
      </c>
    </row>
    <row r="4435" ht="13.5" customHeight="1">
      <c r="D4435" s="7"/>
      <c r="E4435" s="14" t="s">
        <v>82</v>
      </c>
      <c r="F4435" s="46">
        <f>ROUND(F4434*F4404,0)</f>
        <v>28292</v>
      </c>
    </row>
    <row r="4436" ht="13.5" customHeight="1">
      <c r="D4436" s="14" t="s">
        <v>425</v>
      </c>
      <c r="E4436" s="18" t="s">
        <v>84</v>
      </c>
      <c r="F4436" s="53">
        <f>F4434+F4435</f>
        <v>177197</v>
      </c>
    </row>
    <row r="4437" ht="13.5" customHeight="1"/>
    <row r="4438" ht="13.5" customHeight="1"/>
    <row r="4439" ht="13.5" customHeight="1"/>
    <row r="4440" ht="13.5" customHeight="1"/>
    <row r="4441" ht="13.5" customHeight="1"/>
    <row r="4442" ht="13.5" customHeight="1"/>
    <row r="4443" ht="13.5" customHeight="1"/>
    <row r="4444" ht="13.5" customHeight="1"/>
    <row r="4445" ht="13.5" customHeight="1">
      <c r="A4445" s="3" t="s">
        <v>1</v>
      </c>
      <c r="B4445" s="5">
        <v>12.0</v>
      </c>
      <c r="C4445" s="3" t="s">
        <v>2</v>
      </c>
      <c r="D4445" s="7"/>
      <c r="E4445" s="3" t="s">
        <v>3</v>
      </c>
      <c r="F4445" s="9"/>
    </row>
    <row r="4446" ht="13.5" customHeight="1">
      <c r="A4446" s="3" t="s">
        <v>4</v>
      </c>
      <c r="B4446" s="5" t="s">
        <v>30</v>
      </c>
      <c r="D4446" s="7"/>
      <c r="E4446" s="3" t="s">
        <v>6</v>
      </c>
      <c r="F4446" s="10">
        <v>0.15</v>
      </c>
    </row>
    <row r="4447" ht="13.5" customHeight="1">
      <c r="D4447" s="7"/>
      <c r="E4447" s="3" t="s">
        <v>8</v>
      </c>
      <c r="F4447" s="10">
        <v>0.2</v>
      </c>
    </row>
    <row r="4448" ht="13.5" customHeight="1">
      <c r="B4448" s="5" t="s">
        <v>650</v>
      </c>
      <c r="D4448" s="7"/>
      <c r="E4448" s="3" t="s">
        <v>10</v>
      </c>
      <c r="F4448" s="10">
        <v>0.19</v>
      </c>
    </row>
    <row r="4449" ht="13.5" customHeight="1">
      <c r="A4449" s="14" t="s">
        <v>11</v>
      </c>
      <c r="D4449" s="7"/>
      <c r="E4449" s="9"/>
      <c r="F4449" s="9"/>
    </row>
    <row r="4450" ht="13.5" customHeight="1">
      <c r="A4450" s="18" t="s">
        <v>15</v>
      </c>
      <c r="B4450" s="18" t="s">
        <v>17</v>
      </c>
      <c r="C4450" s="18" t="s">
        <v>18</v>
      </c>
      <c r="D4450" s="18" t="s">
        <v>19</v>
      </c>
      <c r="E4450" s="18" t="s">
        <v>20</v>
      </c>
      <c r="F4450" s="18" t="s">
        <v>21</v>
      </c>
    </row>
    <row r="4451" ht="13.5" customHeight="1">
      <c r="A4451" s="21" t="s">
        <v>22</v>
      </c>
      <c r="B4451" s="21" t="s">
        <v>651</v>
      </c>
      <c r="C4451" s="21" t="s">
        <v>5</v>
      </c>
      <c r="D4451" s="21">
        <v>5.28</v>
      </c>
      <c r="E4451" s="21">
        <v>30000.0</v>
      </c>
      <c r="F4451" s="33">
        <f t="shared" ref="F4451:F4453" si="211">ROUND(IFERROR(D4451*E4451,0),0)</f>
        <v>158400</v>
      </c>
    </row>
    <row r="4452" ht="13.5" customHeight="1">
      <c r="A4452" s="21" t="s">
        <v>27</v>
      </c>
      <c r="B4452" s="21" t="s">
        <v>640</v>
      </c>
      <c r="C4452" s="21" t="s">
        <v>30</v>
      </c>
      <c r="D4452" s="21">
        <v>1.0</v>
      </c>
      <c r="E4452" s="21">
        <v>8000.0</v>
      </c>
      <c r="F4452" s="33">
        <f t="shared" si="211"/>
        <v>8000</v>
      </c>
    </row>
    <row r="4453" ht="13.5" customHeight="1">
      <c r="A4453" s="21" t="s">
        <v>32</v>
      </c>
      <c r="B4453" s="21" t="s">
        <v>641</v>
      </c>
      <c r="C4453" s="21" t="s">
        <v>34</v>
      </c>
      <c r="D4453" s="21">
        <v>1.0</v>
      </c>
      <c r="E4453" s="279">
        <v>1200.0</v>
      </c>
      <c r="F4453" s="33">
        <f t="shared" si="211"/>
        <v>1200</v>
      </c>
    </row>
    <row r="4454" ht="13.5" customHeight="1">
      <c r="A4454" s="21" t="s">
        <v>99</v>
      </c>
      <c r="B4454" s="21"/>
      <c r="C4454" s="21"/>
      <c r="D4454" s="21"/>
      <c r="E4454" s="279"/>
      <c r="F4454" s="33"/>
    </row>
    <row r="4455" ht="13.5" customHeight="1">
      <c r="A4455" s="21"/>
      <c r="B4455" s="21"/>
      <c r="C4455" s="21"/>
      <c r="D4455" s="21"/>
      <c r="E4455" s="279"/>
      <c r="F4455" s="33"/>
    </row>
    <row r="4456" ht="13.5" customHeight="1">
      <c r="A4456" s="21"/>
      <c r="B4456" s="21"/>
      <c r="C4456" s="21"/>
      <c r="D4456" s="21"/>
      <c r="E4456" s="279"/>
      <c r="F4456" s="33"/>
    </row>
    <row r="4457" ht="13.5" customHeight="1">
      <c r="D4457" s="7"/>
      <c r="E4457" s="14" t="s">
        <v>37</v>
      </c>
      <c r="F4457" s="46">
        <f>SUM(F4451:F4456)</f>
        <v>167600</v>
      </c>
    </row>
    <row r="4458" ht="13.5" customHeight="1">
      <c r="D4458" s="7"/>
      <c r="E4458" s="9"/>
      <c r="F4458" s="48"/>
    </row>
    <row r="4459" ht="13.5" customHeight="1">
      <c r="A4459" s="14" t="s">
        <v>44</v>
      </c>
      <c r="D4459" s="7"/>
      <c r="E4459" s="9"/>
      <c r="F4459" s="9"/>
    </row>
    <row r="4460" ht="13.5" customHeight="1">
      <c r="A4460" s="18" t="s">
        <v>15</v>
      </c>
      <c r="B4460" s="18" t="s">
        <v>17</v>
      </c>
      <c r="C4460" s="18" t="s">
        <v>18</v>
      </c>
      <c r="D4460" s="18" t="s">
        <v>19</v>
      </c>
      <c r="E4460" s="18" t="s">
        <v>20</v>
      </c>
      <c r="F4460" s="18" t="s">
        <v>21</v>
      </c>
    </row>
    <row r="4461" ht="13.5" customHeight="1">
      <c r="A4461" s="21" t="s">
        <v>22</v>
      </c>
      <c r="B4461" s="21" t="s">
        <v>345</v>
      </c>
      <c r="C4461" s="21" t="s">
        <v>51</v>
      </c>
      <c r="D4461" s="187">
        <f>ROUND(1/B4445,2)</f>
        <v>0.08</v>
      </c>
      <c r="E4461" s="21">
        <v>65000.0</v>
      </c>
      <c r="F4461" s="33">
        <f t="shared" ref="F4461:F4462" si="212">ROUND(IFERROR(D4461*E4461,0),0)</f>
        <v>5200</v>
      </c>
    </row>
    <row r="4462" ht="13.5" customHeight="1">
      <c r="A4462" s="21" t="s">
        <v>27</v>
      </c>
      <c r="B4462" s="21" t="s">
        <v>54</v>
      </c>
      <c r="C4462" s="21" t="s">
        <v>51</v>
      </c>
      <c r="D4462" s="187">
        <v>0.04</v>
      </c>
      <c r="E4462" s="21">
        <v>50000.0</v>
      </c>
      <c r="F4462" s="33">
        <f t="shared" si="212"/>
        <v>2000</v>
      </c>
    </row>
    <row r="4463" ht="13.5" customHeight="1">
      <c r="D4463" s="7"/>
      <c r="E4463" s="14" t="s">
        <v>37</v>
      </c>
      <c r="F4463" s="46">
        <f>SUM(F4461:F4462)</f>
        <v>7200</v>
      </c>
    </row>
    <row r="4464" ht="13.5" customHeight="1">
      <c r="D4464" s="7"/>
      <c r="E4464" s="14" t="s">
        <v>59</v>
      </c>
      <c r="F4464" s="46">
        <f>ROUND(F4463*0.5,0)</f>
        <v>3600</v>
      </c>
    </row>
    <row r="4465" ht="13.5" customHeight="1">
      <c r="D4465" s="7"/>
      <c r="E4465" s="14" t="s">
        <v>60</v>
      </c>
      <c r="F4465" s="46">
        <f>F4463+F4464</f>
        <v>10800</v>
      </c>
    </row>
    <row r="4466" ht="13.5" customHeight="1">
      <c r="D4466" s="7"/>
      <c r="E4466" s="9"/>
      <c r="F4466" s="48"/>
    </row>
    <row r="4467" ht="13.5" customHeight="1">
      <c r="A4467" s="14" t="s">
        <v>62</v>
      </c>
      <c r="D4467" s="7"/>
      <c r="E4467" s="9"/>
      <c r="F4467" s="9"/>
    </row>
    <row r="4468" ht="13.5" customHeight="1">
      <c r="A4468" s="18" t="s">
        <v>15</v>
      </c>
      <c r="B4468" s="18" t="s">
        <v>17</v>
      </c>
      <c r="C4468" s="18" t="s">
        <v>18</v>
      </c>
      <c r="D4468" s="18" t="s">
        <v>19</v>
      </c>
      <c r="E4468" s="18" t="s">
        <v>20</v>
      </c>
      <c r="F4468" s="18" t="s">
        <v>21</v>
      </c>
    </row>
    <row r="4469" ht="13.5" customHeight="1">
      <c r="A4469" s="21" t="s">
        <v>22</v>
      </c>
      <c r="B4469" s="21" t="s">
        <v>394</v>
      </c>
      <c r="C4469" s="21" t="s">
        <v>51</v>
      </c>
      <c r="D4469" s="144">
        <f>ROUND(1/B4445,2)</f>
        <v>0.08</v>
      </c>
      <c r="E4469" s="21">
        <v>45000.0</v>
      </c>
      <c r="F4469" s="33">
        <f>ROUND(IFERROR(D4469*E4469,0),0)</f>
        <v>3600</v>
      </c>
    </row>
    <row r="4470" ht="13.5" customHeight="1">
      <c r="A4470" s="21"/>
      <c r="B4470" s="21"/>
      <c r="C4470" s="21"/>
      <c r="D4470" s="144"/>
      <c r="E4470" s="21"/>
      <c r="F4470" s="33"/>
    </row>
    <row r="4471" ht="13.5" customHeight="1">
      <c r="D4471" s="7"/>
      <c r="E4471" s="14" t="s">
        <v>37</v>
      </c>
      <c r="F4471" s="46">
        <f>SUM(F4469:F4470)</f>
        <v>3600</v>
      </c>
    </row>
    <row r="4472" ht="13.5" customHeight="1">
      <c r="D4472" s="7"/>
      <c r="E4472" s="9"/>
      <c r="F4472" s="9"/>
    </row>
    <row r="4473" ht="13.5" customHeight="1">
      <c r="A4473" s="14" t="s">
        <v>74</v>
      </c>
      <c r="D4473" s="7"/>
      <c r="E4473" s="9"/>
      <c r="F4473" s="9"/>
    </row>
    <row r="4474" ht="13.5" customHeight="1">
      <c r="A4474" s="18"/>
      <c r="B4474" s="18" t="s">
        <v>17</v>
      </c>
      <c r="C4474" s="18" t="s">
        <v>18</v>
      </c>
      <c r="D4474" s="18" t="s">
        <v>19</v>
      </c>
      <c r="E4474" s="18" t="s">
        <v>20</v>
      </c>
      <c r="F4474" s="18" t="s">
        <v>21</v>
      </c>
    </row>
    <row r="4475" ht="13.5" customHeight="1">
      <c r="D4475" s="7"/>
      <c r="E4475" s="14" t="s">
        <v>77</v>
      </c>
      <c r="F4475" s="46">
        <f>F4457+F4465+F4471</f>
        <v>182000</v>
      </c>
    </row>
    <row r="4476" ht="13.5" customHeight="1">
      <c r="D4476" s="7"/>
      <c r="E4476" s="14" t="s">
        <v>6</v>
      </c>
      <c r="F4476" s="46">
        <f>ROUND(F4475*F4446,0)</f>
        <v>27300</v>
      </c>
    </row>
    <row r="4477" ht="13.5" customHeight="1">
      <c r="D4477" s="7"/>
      <c r="E4477" s="14" t="s">
        <v>8</v>
      </c>
      <c r="F4477" s="46">
        <f>ROUND(F4475*F4447,0)</f>
        <v>36400</v>
      </c>
    </row>
    <row r="4478" ht="13.5" customHeight="1">
      <c r="D4478" s="7"/>
      <c r="E4478" s="14" t="s">
        <v>81</v>
      </c>
      <c r="F4478" s="46">
        <f>F4475+F4476+F4477</f>
        <v>245700</v>
      </c>
    </row>
    <row r="4479" ht="13.5" customHeight="1">
      <c r="D4479" s="7"/>
      <c r="E4479" s="14" t="s">
        <v>82</v>
      </c>
      <c r="F4479" s="46">
        <f>ROUND(F4478*F4448,0)</f>
        <v>46683</v>
      </c>
    </row>
    <row r="4480" ht="13.5" customHeight="1">
      <c r="D4480" s="14" t="s">
        <v>425</v>
      </c>
      <c r="E4480" s="18" t="s">
        <v>84</v>
      </c>
      <c r="F4480" s="53">
        <f>F4478+F4479</f>
        <v>292383</v>
      </c>
    </row>
    <row r="4481" ht="13.5" customHeight="1"/>
    <row r="4482" ht="13.5" customHeight="1"/>
    <row r="4483" ht="13.5" customHeight="1"/>
    <row r="4484" ht="13.5" customHeight="1"/>
    <row r="4485" ht="13.5" customHeight="1"/>
    <row r="4486" ht="13.5" customHeight="1"/>
    <row r="4487" ht="13.5" customHeight="1"/>
    <row r="4488" ht="13.5" customHeight="1"/>
    <row r="4489" ht="13.5" customHeight="1">
      <c r="A4489" s="3" t="s">
        <v>1</v>
      </c>
      <c r="B4489" s="5">
        <v>12.0</v>
      </c>
      <c r="C4489" s="3" t="s">
        <v>2</v>
      </c>
      <c r="D4489" s="7"/>
      <c r="E4489" s="3" t="s">
        <v>3</v>
      </c>
      <c r="F4489" s="9"/>
    </row>
    <row r="4490" ht="13.5" customHeight="1">
      <c r="A4490" s="3" t="s">
        <v>4</v>
      </c>
      <c r="B4490" s="5" t="s">
        <v>30</v>
      </c>
      <c r="D4490" s="7"/>
      <c r="E4490" s="3" t="s">
        <v>6</v>
      </c>
      <c r="F4490" s="10">
        <v>0.15</v>
      </c>
    </row>
    <row r="4491" ht="13.5" customHeight="1">
      <c r="D4491" s="7"/>
      <c r="E4491" s="3" t="s">
        <v>8</v>
      </c>
      <c r="F4491" s="10">
        <v>0.2</v>
      </c>
    </row>
    <row r="4492" ht="13.5" customHeight="1">
      <c r="B4492" s="5" t="s">
        <v>652</v>
      </c>
      <c r="D4492" s="7"/>
      <c r="E4492" s="3" t="s">
        <v>10</v>
      </c>
      <c r="F4492" s="10">
        <v>0.19</v>
      </c>
    </row>
    <row r="4493" ht="13.5" customHeight="1">
      <c r="A4493" s="14" t="s">
        <v>11</v>
      </c>
      <c r="D4493" s="7"/>
      <c r="E4493" s="9"/>
      <c r="F4493" s="9"/>
    </row>
    <row r="4494" ht="13.5" customHeight="1">
      <c r="A4494" s="18" t="s">
        <v>15</v>
      </c>
      <c r="B4494" s="18" t="s">
        <v>17</v>
      </c>
      <c r="C4494" s="18" t="s">
        <v>18</v>
      </c>
      <c r="D4494" s="18" t="s">
        <v>19</v>
      </c>
      <c r="E4494" s="18" t="s">
        <v>20</v>
      </c>
      <c r="F4494" s="18" t="s">
        <v>21</v>
      </c>
    </row>
    <row r="4495" ht="13.5" customHeight="1">
      <c r="A4495" s="21" t="s">
        <v>22</v>
      </c>
      <c r="B4495" s="21" t="s">
        <v>653</v>
      </c>
      <c r="C4495" s="21" t="s">
        <v>5</v>
      </c>
      <c r="D4495" s="21">
        <v>6.96</v>
      </c>
      <c r="E4495" s="21">
        <v>30000.0</v>
      </c>
      <c r="F4495" s="33">
        <f t="shared" ref="F4495:F4497" si="213">ROUND(IFERROR(D4495*E4495,0),0)</f>
        <v>208800</v>
      </c>
      <c r="G4495" s="48"/>
    </row>
    <row r="4496" ht="13.5" customHeight="1">
      <c r="A4496" s="21" t="s">
        <v>27</v>
      </c>
      <c r="B4496" s="21" t="s">
        <v>640</v>
      </c>
      <c r="C4496" s="21" t="s">
        <v>30</v>
      </c>
      <c r="D4496" s="21">
        <v>1.0</v>
      </c>
      <c r="E4496" s="21">
        <v>8000.0</v>
      </c>
      <c r="F4496" s="33">
        <f t="shared" si="213"/>
        <v>8000</v>
      </c>
      <c r="G4496" s="48"/>
    </row>
    <row r="4497" ht="13.5" customHeight="1">
      <c r="A4497" s="21" t="s">
        <v>32</v>
      </c>
      <c r="B4497" s="21" t="s">
        <v>641</v>
      </c>
      <c r="C4497" s="21" t="s">
        <v>34</v>
      </c>
      <c r="D4497" s="21">
        <v>1.0</v>
      </c>
      <c r="E4497" s="279">
        <v>1200.0</v>
      </c>
      <c r="F4497" s="33">
        <f t="shared" si="213"/>
        <v>1200</v>
      </c>
      <c r="G4497" s="48"/>
    </row>
    <row r="4498" ht="13.5" customHeight="1">
      <c r="A4498" s="21" t="s">
        <v>99</v>
      </c>
      <c r="B4498" s="21"/>
      <c r="C4498" s="21"/>
      <c r="D4498" s="21"/>
      <c r="E4498" s="279"/>
      <c r="F4498" s="33"/>
      <c r="G4498" s="48"/>
    </row>
    <row r="4499" ht="13.5" customHeight="1">
      <c r="A4499" s="21"/>
      <c r="B4499" s="21"/>
      <c r="C4499" s="21"/>
      <c r="D4499" s="21"/>
      <c r="E4499" s="279"/>
      <c r="F4499" s="33"/>
      <c r="G4499" s="48"/>
    </row>
    <row r="4500" ht="13.5" customHeight="1">
      <c r="A4500" s="21"/>
      <c r="B4500" s="21"/>
      <c r="C4500" s="21"/>
      <c r="D4500" s="21"/>
      <c r="E4500" s="279"/>
      <c r="F4500" s="33"/>
      <c r="G4500" s="48"/>
    </row>
    <row r="4501" ht="13.5" customHeight="1">
      <c r="D4501" s="7"/>
      <c r="E4501" s="14" t="s">
        <v>37</v>
      </c>
      <c r="F4501" s="46">
        <f>SUM(F4495:F4500)</f>
        <v>218000</v>
      </c>
      <c r="G4501" s="48"/>
    </row>
    <row r="4502" ht="13.5" customHeight="1">
      <c r="D4502" s="7"/>
      <c r="E4502" s="9"/>
      <c r="F4502" s="48"/>
      <c r="G4502" s="48"/>
    </row>
    <row r="4503" ht="13.5" customHeight="1">
      <c r="A4503" s="14" t="s">
        <v>44</v>
      </c>
      <c r="D4503" s="7"/>
      <c r="E4503" s="9"/>
      <c r="F4503" s="9"/>
    </row>
    <row r="4504" ht="13.5" customHeight="1">
      <c r="A4504" s="18" t="s">
        <v>15</v>
      </c>
      <c r="B4504" s="18" t="s">
        <v>17</v>
      </c>
      <c r="C4504" s="18" t="s">
        <v>18</v>
      </c>
      <c r="D4504" s="18" t="s">
        <v>19</v>
      </c>
      <c r="E4504" s="18" t="s">
        <v>20</v>
      </c>
      <c r="F4504" s="18" t="s">
        <v>21</v>
      </c>
    </row>
    <row r="4505" ht="13.5" customHeight="1">
      <c r="A4505" s="21" t="s">
        <v>22</v>
      </c>
      <c r="B4505" s="21" t="s">
        <v>345</v>
      </c>
      <c r="C4505" s="21" t="s">
        <v>51</v>
      </c>
      <c r="D4505" s="187">
        <f>ROUND(1/B4489,2)</f>
        <v>0.08</v>
      </c>
      <c r="E4505" s="21">
        <v>65000.0</v>
      </c>
      <c r="F4505" s="33">
        <f t="shared" ref="F4505:F4506" si="214">ROUND(IFERROR(D4505*E4505,0),0)</f>
        <v>5200</v>
      </c>
    </row>
    <row r="4506" ht="13.5" customHeight="1">
      <c r="A4506" s="21" t="s">
        <v>27</v>
      </c>
      <c r="B4506" s="21" t="s">
        <v>54</v>
      </c>
      <c r="C4506" s="21" t="s">
        <v>51</v>
      </c>
      <c r="D4506" s="187">
        <v>0.04</v>
      </c>
      <c r="E4506" s="21">
        <v>50000.0</v>
      </c>
      <c r="F4506" s="33">
        <f t="shared" si="214"/>
        <v>2000</v>
      </c>
    </row>
    <row r="4507" ht="13.5" customHeight="1">
      <c r="D4507" s="7"/>
      <c r="E4507" s="14" t="s">
        <v>37</v>
      </c>
      <c r="F4507" s="46">
        <f>SUM(F4505:F4506)</f>
        <v>7200</v>
      </c>
    </row>
    <row r="4508" ht="13.5" customHeight="1">
      <c r="D4508" s="7"/>
      <c r="E4508" s="14" t="s">
        <v>59</v>
      </c>
      <c r="F4508" s="46">
        <f>F4507*0.5</f>
        <v>3600</v>
      </c>
    </row>
    <row r="4509" ht="13.5" customHeight="1">
      <c r="D4509" s="7"/>
      <c r="E4509" s="14" t="s">
        <v>60</v>
      </c>
      <c r="F4509" s="46">
        <f>F4507+F4508</f>
        <v>10800</v>
      </c>
    </row>
    <row r="4510" ht="13.5" customHeight="1">
      <c r="D4510" s="7"/>
      <c r="E4510" s="9"/>
      <c r="F4510" s="9"/>
    </row>
    <row r="4511" ht="13.5" customHeight="1">
      <c r="A4511" s="14" t="s">
        <v>62</v>
      </c>
      <c r="D4511" s="7"/>
      <c r="E4511" s="9"/>
      <c r="F4511" s="9"/>
    </row>
    <row r="4512" ht="13.5" customHeight="1">
      <c r="A4512" s="18" t="s">
        <v>15</v>
      </c>
      <c r="B4512" s="18" t="s">
        <v>17</v>
      </c>
      <c r="C4512" s="18" t="s">
        <v>18</v>
      </c>
      <c r="D4512" s="18" t="s">
        <v>19</v>
      </c>
      <c r="E4512" s="18" t="s">
        <v>20</v>
      </c>
      <c r="F4512" s="18" t="s">
        <v>21</v>
      </c>
    </row>
    <row r="4513" ht="13.5" customHeight="1">
      <c r="A4513" s="21" t="s">
        <v>22</v>
      </c>
      <c r="B4513" s="21" t="s">
        <v>394</v>
      </c>
      <c r="C4513" s="21" t="s">
        <v>51</v>
      </c>
      <c r="D4513" s="144">
        <f>ROUND(1/B4489,2)</f>
        <v>0.08</v>
      </c>
      <c r="E4513" s="21">
        <v>45000.0</v>
      </c>
      <c r="F4513" s="33">
        <f>ROUND(IFERROR(D4513*E4513,0),0)</f>
        <v>3600</v>
      </c>
    </row>
    <row r="4514" ht="13.5" customHeight="1">
      <c r="A4514" s="21"/>
      <c r="B4514" s="21"/>
      <c r="C4514" s="21"/>
      <c r="D4514" s="144"/>
      <c r="E4514" s="21"/>
      <c r="F4514" s="33"/>
    </row>
    <row r="4515" ht="13.5" customHeight="1">
      <c r="D4515" s="7"/>
      <c r="E4515" s="14" t="s">
        <v>37</v>
      </c>
      <c r="F4515" s="46">
        <f>SUM(F4513:F4514)</f>
        <v>3600</v>
      </c>
    </row>
    <row r="4516" ht="13.5" customHeight="1">
      <c r="D4516" s="7"/>
      <c r="E4516" s="9"/>
      <c r="F4516" s="48"/>
    </row>
    <row r="4517" ht="13.5" customHeight="1">
      <c r="A4517" s="14" t="s">
        <v>74</v>
      </c>
      <c r="D4517" s="7"/>
      <c r="E4517" s="9"/>
      <c r="F4517" s="9"/>
    </row>
    <row r="4518" ht="13.5" customHeight="1">
      <c r="A4518" s="18"/>
      <c r="B4518" s="18" t="s">
        <v>17</v>
      </c>
      <c r="C4518" s="18" t="s">
        <v>18</v>
      </c>
      <c r="D4518" s="18" t="s">
        <v>19</v>
      </c>
      <c r="E4518" s="18" t="s">
        <v>20</v>
      </c>
      <c r="F4518" s="18" t="s">
        <v>21</v>
      </c>
    </row>
    <row r="4519" ht="13.5" customHeight="1">
      <c r="D4519" s="7"/>
      <c r="E4519" s="14" t="s">
        <v>77</v>
      </c>
      <c r="F4519" s="46">
        <f>F4501+F4509+F4515</f>
        <v>232400</v>
      </c>
    </row>
    <row r="4520" ht="13.5" customHeight="1">
      <c r="D4520" s="7"/>
      <c r="E4520" s="14" t="s">
        <v>6</v>
      </c>
      <c r="F4520" s="46">
        <f>ROUND(F4519*F4490,0)</f>
        <v>34860</v>
      </c>
    </row>
    <row r="4521" ht="13.5" customHeight="1">
      <c r="D4521" s="7"/>
      <c r="E4521" s="14" t="s">
        <v>8</v>
      </c>
      <c r="F4521" s="46">
        <f>ROUND(F4519*F4491,0)</f>
        <v>46480</v>
      </c>
    </row>
    <row r="4522" ht="13.5" customHeight="1">
      <c r="D4522" s="7"/>
      <c r="E4522" s="14" t="s">
        <v>81</v>
      </c>
      <c r="F4522" s="46">
        <f>F4519+F4520+F4521</f>
        <v>313740</v>
      </c>
    </row>
    <row r="4523" ht="13.5" customHeight="1">
      <c r="D4523" s="7"/>
      <c r="E4523" s="14" t="s">
        <v>82</v>
      </c>
      <c r="F4523" s="46">
        <f>ROUND(F4522*F4492,0)</f>
        <v>59611</v>
      </c>
    </row>
    <row r="4524" ht="13.5" customHeight="1">
      <c r="D4524" s="14" t="s">
        <v>425</v>
      </c>
      <c r="E4524" s="18" t="s">
        <v>84</v>
      </c>
      <c r="F4524" s="53">
        <f>F4522+F4523</f>
        <v>373351</v>
      </c>
    </row>
    <row r="4525" ht="13.5" customHeight="1">
      <c r="F4525" s="48"/>
    </row>
    <row r="4526" ht="13.5" customHeight="1"/>
    <row r="4527" ht="13.5" customHeight="1"/>
    <row r="4528" ht="13.5" customHeight="1"/>
    <row r="4529" ht="13.5" customHeight="1"/>
    <row r="4530" ht="13.5" customHeight="1"/>
    <row r="4531" ht="13.5" customHeight="1"/>
    <row r="4532" ht="13.5" customHeight="1"/>
    <row r="4533" ht="13.5" customHeight="1">
      <c r="A4533" s="3" t="s">
        <v>1</v>
      </c>
      <c r="B4533" s="5">
        <v>12.0</v>
      </c>
      <c r="C4533" s="3" t="s">
        <v>2</v>
      </c>
      <c r="D4533" s="7"/>
      <c r="E4533" s="3" t="s">
        <v>3</v>
      </c>
      <c r="F4533" s="9"/>
    </row>
    <row r="4534" ht="13.5" customHeight="1">
      <c r="A4534" s="3" t="s">
        <v>4</v>
      </c>
      <c r="B4534" s="5" t="s">
        <v>30</v>
      </c>
      <c r="D4534" s="7"/>
      <c r="E4534" s="3" t="s">
        <v>6</v>
      </c>
      <c r="F4534" s="10">
        <v>0.15</v>
      </c>
    </row>
    <row r="4535" ht="13.5" customHeight="1">
      <c r="D4535" s="7"/>
      <c r="E4535" s="3" t="s">
        <v>8</v>
      </c>
      <c r="F4535" s="10">
        <v>0.2</v>
      </c>
    </row>
    <row r="4536" ht="13.5" customHeight="1">
      <c r="B4536" s="5" t="s">
        <v>654</v>
      </c>
      <c r="D4536" s="7"/>
      <c r="E4536" s="3" t="s">
        <v>10</v>
      </c>
      <c r="F4536" s="10">
        <v>0.19</v>
      </c>
    </row>
    <row r="4537" ht="13.5" customHeight="1">
      <c r="A4537" s="14" t="s">
        <v>11</v>
      </c>
      <c r="D4537" s="7"/>
      <c r="E4537" s="9"/>
      <c r="F4537" s="9"/>
    </row>
    <row r="4538" ht="13.5" customHeight="1">
      <c r="A4538" s="18" t="s">
        <v>15</v>
      </c>
      <c r="B4538" s="18" t="s">
        <v>17</v>
      </c>
      <c r="C4538" s="18" t="s">
        <v>18</v>
      </c>
      <c r="D4538" s="18" t="s">
        <v>19</v>
      </c>
      <c r="E4538" s="18" t="s">
        <v>20</v>
      </c>
      <c r="F4538" s="18" t="s">
        <v>21</v>
      </c>
    </row>
    <row r="4539" ht="13.5" customHeight="1">
      <c r="A4539" s="21" t="s">
        <v>22</v>
      </c>
      <c r="B4539" s="21" t="s">
        <v>655</v>
      </c>
      <c r="C4539" s="21" t="s">
        <v>5</v>
      </c>
      <c r="D4539" s="21">
        <v>4.64</v>
      </c>
      <c r="E4539" s="21">
        <v>30000.0</v>
      </c>
      <c r="F4539" s="33">
        <f t="shared" ref="F4539:F4541" si="215">ROUND(IFERROR(D4539*E4539,0),0)</f>
        <v>139200</v>
      </c>
    </row>
    <row r="4540" ht="13.5" customHeight="1">
      <c r="A4540" s="21" t="s">
        <v>27</v>
      </c>
      <c r="B4540" s="21" t="s">
        <v>640</v>
      </c>
      <c r="C4540" s="21" t="s">
        <v>30</v>
      </c>
      <c r="D4540" s="21">
        <v>1.0</v>
      </c>
      <c r="E4540" s="21">
        <v>8000.0</v>
      </c>
      <c r="F4540" s="33">
        <f t="shared" si="215"/>
        <v>8000</v>
      </c>
    </row>
    <row r="4541" ht="13.5" customHeight="1">
      <c r="A4541" s="21" t="s">
        <v>32</v>
      </c>
      <c r="B4541" s="21" t="s">
        <v>641</v>
      </c>
      <c r="C4541" s="21" t="s">
        <v>34</v>
      </c>
      <c r="D4541" s="21">
        <v>1.0</v>
      </c>
      <c r="E4541" s="279">
        <v>1200.0</v>
      </c>
      <c r="F4541" s="33">
        <f t="shared" si="215"/>
        <v>1200</v>
      </c>
    </row>
    <row r="4542" ht="13.5" customHeight="1">
      <c r="A4542" s="21" t="s">
        <v>99</v>
      </c>
      <c r="B4542" s="21"/>
      <c r="C4542" s="21"/>
      <c r="D4542" s="21"/>
      <c r="E4542" s="279"/>
      <c r="F4542" s="33"/>
    </row>
    <row r="4543" ht="13.5" customHeight="1">
      <c r="A4543" s="21"/>
      <c r="B4543" s="21"/>
      <c r="C4543" s="21"/>
      <c r="D4543" s="21"/>
      <c r="E4543" s="279"/>
      <c r="F4543" s="33"/>
    </row>
    <row r="4544" ht="13.5" customHeight="1">
      <c r="A4544" s="21"/>
      <c r="B4544" s="21"/>
      <c r="C4544" s="21"/>
      <c r="D4544" s="21"/>
      <c r="E4544" s="279"/>
      <c r="F4544" s="33"/>
    </row>
    <row r="4545" ht="13.5" customHeight="1">
      <c r="D4545" s="7"/>
      <c r="E4545" s="14" t="s">
        <v>37</v>
      </c>
      <c r="F4545" s="46">
        <f>SUM(F4539:F4544)</f>
        <v>148400</v>
      </c>
    </row>
    <row r="4546" ht="13.5" customHeight="1">
      <c r="D4546" s="7"/>
      <c r="E4546" s="9"/>
      <c r="F4546" s="9"/>
    </row>
    <row r="4547" ht="13.5" customHeight="1">
      <c r="A4547" s="14" t="s">
        <v>44</v>
      </c>
      <c r="D4547" s="7"/>
      <c r="E4547" s="9"/>
      <c r="F4547" s="9"/>
    </row>
    <row r="4548" ht="13.5" customHeight="1">
      <c r="A4548" s="18" t="s">
        <v>15</v>
      </c>
      <c r="B4548" s="18" t="s">
        <v>17</v>
      </c>
      <c r="C4548" s="18" t="s">
        <v>18</v>
      </c>
      <c r="D4548" s="18" t="s">
        <v>19</v>
      </c>
      <c r="E4548" s="18" t="s">
        <v>20</v>
      </c>
      <c r="F4548" s="18" t="s">
        <v>21</v>
      </c>
    </row>
    <row r="4549" ht="13.5" customHeight="1">
      <c r="A4549" s="21" t="s">
        <v>22</v>
      </c>
      <c r="B4549" s="21" t="s">
        <v>345</v>
      </c>
      <c r="C4549" s="21" t="s">
        <v>51</v>
      </c>
      <c r="D4549" s="187">
        <f>ROUND(1/B4533,2)</f>
        <v>0.08</v>
      </c>
      <c r="E4549" s="21">
        <v>65000.0</v>
      </c>
      <c r="F4549" s="33">
        <f t="shared" ref="F4549:F4550" si="216">ROUND(IFERROR(D4549*E4549,0),0)</f>
        <v>5200</v>
      </c>
    </row>
    <row r="4550" ht="13.5" customHeight="1">
      <c r="A4550" s="21" t="s">
        <v>27</v>
      </c>
      <c r="B4550" s="21" t="s">
        <v>54</v>
      </c>
      <c r="C4550" s="21" t="s">
        <v>51</v>
      </c>
      <c r="D4550" s="187">
        <v>0.04</v>
      </c>
      <c r="E4550" s="21">
        <v>50000.0</v>
      </c>
      <c r="F4550" s="33">
        <f t="shared" si="216"/>
        <v>2000</v>
      </c>
    </row>
    <row r="4551" ht="13.5" customHeight="1">
      <c r="D4551" s="7"/>
      <c r="E4551" s="14" t="s">
        <v>37</v>
      </c>
      <c r="F4551" s="46">
        <f>SUM(F4549:F4550)</f>
        <v>7200</v>
      </c>
    </row>
    <row r="4552" ht="13.5" customHeight="1">
      <c r="D4552" s="7"/>
      <c r="E4552" s="14" t="s">
        <v>59</v>
      </c>
      <c r="F4552" s="46">
        <f>ROUND(F4551*0.5,0)</f>
        <v>3600</v>
      </c>
    </row>
    <row r="4553" ht="13.5" customHeight="1">
      <c r="D4553" s="7"/>
      <c r="E4553" s="14" t="s">
        <v>60</v>
      </c>
      <c r="F4553" s="46">
        <f>F4551+F4552</f>
        <v>10800</v>
      </c>
    </row>
    <row r="4554" ht="13.5" customHeight="1">
      <c r="D4554" s="7"/>
      <c r="E4554" s="9"/>
      <c r="F4554" s="48"/>
    </row>
    <row r="4555" ht="13.5" customHeight="1">
      <c r="A4555" s="14" t="s">
        <v>62</v>
      </c>
      <c r="D4555" s="7"/>
      <c r="E4555" s="9"/>
      <c r="F4555" s="9"/>
    </row>
    <row r="4556" ht="13.5" customHeight="1">
      <c r="A4556" s="18" t="s">
        <v>15</v>
      </c>
      <c r="B4556" s="18" t="s">
        <v>17</v>
      </c>
      <c r="C4556" s="18" t="s">
        <v>18</v>
      </c>
      <c r="D4556" s="18" t="s">
        <v>19</v>
      </c>
      <c r="E4556" s="18" t="s">
        <v>20</v>
      </c>
      <c r="F4556" s="18" t="s">
        <v>21</v>
      </c>
    </row>
    <row r="4557" ht="13.5" customHeight="1">
      <c r="A4557" s="21" t="s">
        <v>22</v>
      </c>
      <c r="B4557" s="21" t="s">
        <v>394</v>
      </c>
      <c r="C4557" s="21" t="s">
        <v>51</v>
      </c>
      <c r="D4557" s="144">
        <f>ROUND(1/B4533,2)</f>
        <v>0.08</v>
      </c>
      <c r="E4557" s="21">
        <v>45000.0</v>
      </c>
      <c r="F4557" s="33">
        <f>ROUND(IFERROR(D4557*E4557,0),0)</f>
        <v>3600</v>
      </c>
    </row>
    <row r="4558" ht="13.5" customHeight="1">
      <c r="A4558" s="21"/>
      <c r="B4558" s="21"/>
      <c r="C4558" s="21"/>
      <c r="D4558" s="144"/>
      <c r="E4558" s="21"/>
      <c r="F4558" s="33"/>
    </row>
    <row r="4559" ht="13.5" customHeight="1">
      <c r="D4559" s="7"/>
      <c r="E4559" s="14" t="s">
        <v>37</v>
      </c>
      <c r="F4559" s="46">
        <f>SUM(F4557:F4558)</f>
        <v>3600</v>
      </c>
    </row>
    <row r="4560" ht="13.5" customHeight="1">
      <c r="D4560" s="7"/>
      <c r="E4560" s="9"/>
      <c r="F4560" s="9"/>
    </row>
    <row r="4561" ht="13.5" customHeight="1">
      <c r="A4561" s="14" t="s">
        <v>74</v>
      </c>
      <c r="D4561" s="7"/>
      <c r="E4561" s="9"/>
      <c r="F4561" s="9"/>
    </row>
    <row r="4562" ht="13.5" customHeight="1">
      <c r="A4562" s="18"/>
      <c r="B4562" s="18" t="s">
        <v>17</v>
      </c>
      <c r="C4562" s="18" t="s">
        <v>18</v>
      </c>
      <c r="D4562" s="18" t="s">
        <v>19</v>
      </c>
      <c r="E4562" s="18" t="s">
        <v>20</v>
      </c>
      <c r="F4562" s="18" t="s">
        <v>21</v>
      </c>
    </row>
    <row r="4563" ht="13.5" customHeight="1">
      <c r="D4563" s="7"/>
      <c r="E4563" s="14" t="s">
        <v>77</v>
      </c>
      <c r="F4563" s="46">
        <f>F4545+F4553+F4559</f>
        <v>162800</v>
      </c>
    </row>
    <row r="4564" ht="13.5" customHeight="1">
      <c r="D4564" s="7"/>
      <c r="E4564" s="14" t="s">
        <v>6</v>
      </c>
      <c r="F4564" s="46">
        <f>ROUND(F4563*F4534,0)</f>
        <v>24420</v>
      </c>
    </row>
    <row r="4565" ht="13.5" customHeight="1">
      <c r="D4565" s="7"/>
      <c r="E4565" s="14" t="s">
        <v>8</v>
      </c>
      <c r="F4565" s="46">
        <f>ROUND(F4563*F4535,0)</f>
        <v>32560</v>
      </c>
    </row>
    <row r="4566" ht="13.5" customHeight="1">
      <c r="D4566" s="7"/>
      <c r="E4566" s="14" t="s">
        <v>81</v>
      </c>
      <c r="F4566" s="46">
        <f>F4563+F4564+F4565</f>
        <v>219780</v>
      </c>
    </row>
    <row r="4567" ht="13.5" customHeight="1">
      <c r="D4567" s="7"/>
      <c r="E4567" s="14" t="s">
        <v>82</v>
      </c>
      <c r="F4567" s="46">
        <f>ROUND(F4566*F4536,0)</f>
        <v>41758</v>
      </c>
    </row>
    <row r="4568" ht="13.5" customHeight="1">
      <c r="D4568" s="14" t="s">
        <v>425</v>
      </c>
      <c r="E4568" s="18" t="s">
        <v>84</v>
      </c>
      <c r="F4568" s="53">
        <f>F4566+F4567</f>
        <v>261538</v>
      </c>
    </row>
    <row r="4569" ht="13.5" customHeight="1"/>
    <row r="4570" ht="13.5" customHeight="1"/>
    <row r="4571" ht="13.5" customHeight="1"/>
    <row r="4572" ht="13.5" customHeight="1"/>
    <row r="4573" ht="13.5" customHeight="1"/>
    <row r="4574" ht="13.5" customHeight="1"/>
    <row r="4575" ht="13.5" customHeight="1"/>
    <row r="4576" ht="13.5" customHeight="1"/>
    <row r="4577" ht="13.5" customHeight="1">
      <c r="A4577" s="3" t="s">
        <v>1</v>
      </c>
      <c r="B4577" s="5">
        <v>12.0</v>
      </c>
      <c r="C4577" s="3" t="s">
        <v>2</v>
      </c>
      <c r="D4577" s="7"/>
      <c r="E4577" s="3" t="s">
        <v>3</v>
      </c>
      <c r="F4577" s="9"/>
    </row>
    <row r="4578" ht="13.5" customHeight="1">
      <c r="A4578" s="3" t="s">
        <v>4</v>
      </c>
      <c r="B4578" s="5" t="s">
        <v>30</v>
      </c>
      <c r="D4578" s="7"/>
      <c r="E4578" s="3" t="s">
        <v>6</v>
      </c>
      <c r="F4578" s="10">
        <v>0.15</v>
      </c>
    </row>
    <row r="4579" ht="13.5" customHeight="1">
      <c r="D4579" s="7"/>
      <c r="E4579" s="3" t="s">
        <v>8</v>
      </c>
      <c r="F4579" s="10">
        <v>0.2</v>
      </c>
    </row>
    <row r="4580" ht="13.5" customHeight="1">
      <c r="B4580" s="5" t="s">
        <v>656</v>
      </c>
      <c r="D4580" s="7"/>
      <c r="E4580" s="3" t="s">
        <v>10</v>
      </c>
      <c r="F4580" s="10">
        <v>0.19</v>
      </c>
    </row>
    <row r="4581" ht="13.5" customHeight="1">
      <c r="A4581" s="14" t="s">
        <v>11</v>
      </c>
      <c r="D4581" s="7"/>
      <c r="E4581" s="9"/>
      <c r="F4581" s="9"/>
    </row>
    <row r="4582" ht="13.5" customHeight="1">
      <c r="A4582" s="18" t="s">
        <v>15</v>
      </c>
      <c r="B4582" s="18" t="s">
        <v>17</v>
      </c>
      <c r="C4582" s="18" t="s">
        <v>18</v>
      </c>
      <c r="D4582" s="18" t="s">
        <v>19</v>
      </c>
      <c r="E4582" s="18" t="s">
        <v>20</v>
      </c>
      <c r="F4582" s="18" t="s">
        <v>21</v>
      </c>
    </row>
    <row r="4583" ht="13.5" customHeight="1">
      <c r="A4583" s="21" t="s">
        <v>22</v>
      </c>
      <c r="B4583" s="21" t="s">
        <v>657</v>
      </c>
      <c r="C4583" s="21" t="s">
        <v>30</v>
      </c>
      <c r="D4583" s="21">
        <v>1.0</v>
      </c>
      <c r="E4583" s="21">
        <v>65000.0</v>
      </c>
      <c r="F4583" s="33">
        <f t="shared" ref="F4583:F4584" si="217">ROUND(IFERROR(D4583*E4583,0),0)</f>
        <v>65000</v>
      </c>
    </row>
    <row r="4584" ht="13.5" customHeight="1">
      <c r="A4584" s="21" t="s">
        <v>27</v>
      </c>
      <c r="B4584" s="21" t="s">
        <v>658</v>
      </c>
      <c r="C4584" s="21" t="s">
        <v>34</v>
      </c>
      <c r="D4584" s="21">
        <v>1.0</v>
      </c>
      <c r="E4584" s="21">
        <v>1200.0</v>
      </c>
      <c r="F4584" s="33">
        <f t="shared" si="217"/>
        <v>1200</v>
      </c>
    </row>
    <row r="4585" ht="13.5" customHeight="1">
      <c r="A4585" s="21" t="s">
        <v>32</v>
      </c>
      <c r="B4585" s="21"/>
      <c r="C4585" s="21"/>
      <c r="D4585" s="21"/>
      <c r="E4585" s="279"/>
      <c r="F4585" s="33"/>
    </row>
    <row r="4586" ht="13.5" customHeight="1">
      <c r="A4586" s="21" t="s">
        <v>99</v>
      </c>
      <c r="B4586" s="21"/>
      <c r="C4586" s="21"/>
      <c r="D4586" s="21"/>
      <c r="E4586" s="279"/>
      <c r="F4586" s="33"/>
    </row>
    <row r="4587" ht="13.5" customHeight="1">
      <c r="A4587" s="21"/>
      <c r="B4587" s="21"/>
      <c r="C4587" s="21"/>
      <c r="D4587" s="21"/>
      <c r="E4587" s="279"/>
      <c r="F4587" s="33"/>
    </row>
    <row r="4588" ht="13.5" customHeight="1">
      <c r="A4588" s="21"/>
      <c r="B4588" s="21"/>
      <c r="C4588" s="21"/>
      <c r="D4588" s="21"/>
      <c r="E4588" s="279"/>
      <c r="F4588" s="33"/>
    </row>
    <row r="4589" ht="13.5" customHeight="1">
      <c r="D4589" s="7"/>
      <c r="E4589" s="14" t="s">
        <v>37</v>
      </c>
      <c r="F4589" s="46">
        <f>SUM(F4583:F4588)</f>
        <v>66200</v>
      </c>
    </row>
    <row r="4590" ht="13.5" customHeight="1">
      <c r="D4590" s="7"/>
      <c r="E4590" s="9"/>
      <c r="F4590" s="9"/>
    </row>
    <row r="4591" ht="13.5" customHeight="1">
      <c r="A4591" s="14" t="s">
        <v>44</v>
      </c>
      <c r="D4591" s="7"/>
      <c r="E4591" s="9"/>
      <c r="F4591" s="9"/>
    </row>
    <row r="4592" ht="13.5" customHeight="1">
      <c r="A4592" s="18" t="s">
        <v>15</v>
      </c>
      <c r="B4592" s="18" t="s">
        <v>17</v>
      </c>
      <c r="C4592" s="18" t="s">
        <v>18</v>
      </c>
      <c r="D4592" s="18" t="s">
        <v>19</v>
      </c>
      <c r="E4592" s="18" t="s">
        <v>20</v>
      </c>
      <c r="F4592" s="18" t="s">
        <v>21</v>
      </c>
    </row>
    <row r="4593" ht="13.5" customHeight="1">
      <c r="A4593" s="21" t="s">
        <v>22</v>
      </c>
      <c r="B4593" s="21" t="s">
        <v>345</v>
      </c>
      <c r="C4593" s="21" t="s">
        <v>51</v>
      </c>
      <c r="D4593" s="187">
        <f>ROUND(1/B4577,2)</f>
        <v>0.08</v>
      </c>
      <c r="E4593" s="21">
        <v>65000.0</v>
      </c>
      <c r="F4593" s="33">
        <f t="shared" ref="F4593:F4594" si="218">ROUND(IFERROR(D4593*E4593,0),0)</f>
        <v>5200</v>
      </c>
    </row>
    <row r="4594" ht="13.5" customHeight="1">
      <c r="A4594" s="21" t="s">
        <v>27</v>
      </c>
      <c r="B4594" s="21" t="s">
        <v>54</v>
      </c>
      <c r="C4594" s="21" t="s">
        <v>51</v>
      </c>
      <c r="D4594" s="187">
        <f>ROUND(1/B4577,2)</f>
        <v>0.08</v>
      </c>
      <c r="E4594" s="21">
        <v>50000.0</v>
      </c>
      <c r="F4594" s="33">
        <f t="shared" si="218"/>
        <v>4000</v>
      </c>
    </row>
    <row r="4595" ht="13.5" customHeight="1">
      <c r="D4595" s="7"/>
      <c r="E4595" s="14" t="s">
        <v>37</v>
      </c>
      <c r="F4595" s="46">
        <f>SUM(F4593:F4594)</f>
        <v>9200</v>
      </c>
    </row>
    <row r="4596" ht="13.5" customHeight="1">
      <c r="D4596" s="7"/>
      <c r="E4596" s="14" t="s">
        <v>59</v>
      </c>
      <c r="F4596" s="46">
        <f>F4595*0.5</f>
        <v>4600</v>
      </c>
    </row>
    <row r="4597" ht="13.5" customHeight="1">
      <c r="D4597" s="7"/>
      <c r="E4597" s="14" t="s">
        <v>60</v>
      </c>
      <c r="F4597" s="46">
        <f>F4595+F4596</f>
        <v>13800</v>
      </c>
    </row>
    <row r="4598" ht="13.5" customHeight="1">
      <c r="D4598" s="7"/>
      <c r="E4598" s="9"/>
      <c r="F4598" s="9"/>
    </row>
    <row r="4599" ht="13.5" customHeight="1">
      <c r="A4599" s="14" t="s">
        <v>62</v>
      </c>
      <c r="D4599" s="7"/>
      <c r="E4599" s="9"/>
      <c r="F4599" s="9"/>
    </row>
    <row r="4600" ht="13.5" customHeight="1">
      <c r="A4600" s="18" t="s">
        <v>15</v>
      </c>
      <c r="B4600" s="18" t="s">
        <v>17</v>
      </c>
      <c r="C4600" s="18" t="s">
        <v>18</v>
      </c>
      <c r="D4600" s="18" t="s">
        <v>19</v>
      </c>
      <c r="E4600" s="18" t="s">
        <v>20</v>
      </c>
      <c r="F4600" s="18" t="s">
        <v>21</v>
      </c>
    </row>
    <row r="4601" ht="13.5" customHeight="1">
      <c r="A4601" s="21" t="s">
        <v>22</v>
      </c>
      <c r="B4601" s="21" t="s">
        <v>394</v>
      </c>
      <c r="C4601" s="21" t="s">
        <v>51</v>
      </c>
      <c r="D4601" s="144">
        <f>ROUND(1/B4577,2)</f>
        <v>0.08</v>
      </c>
      <c r="E4601" s="21">
        <v>45000.0</v>
      </c>
      <c r="F4601" s="33">
        <f>ROUND(IFERROR(D4601*E4601,0),0)</f>
        <v>3600</v>
      </c>
    </row>
    <row r="4602" ht="13.5" customHeight="1">
      <c r="A4602" s="21"/>
      <c r="B4602" s="21"/>
      <c r="C4602" s="21"/>
      <c r="D4602" s="144"/>
      <c r="E4602" s="21"/>
      <c r="F4602" s="33"/>
    </row>
    <row r="4603" ht="13.5" customHeight="1">
      <c r="D4603" s="7"/>
      <c r="E4603" s="14" t="s">
        <v>37</v>
      </c>
      <c r="F4603" s="46">
        <f>SUM(F4601:F4602)</f>
        <v>3600</v>
      </c>
    </row>
    <row r="4604" ht="13.5" customHeight="1">
      <c r="D4604" s="7"/>
      <c r="E4604" s="9"/>
      <c r="F4604" s="9"/>
    </row>
    <row r="4605" ht="13.5" customHeight="1">
      <c r="A4605" s="14" t="s">
        <v>74</v>
      </c>
      <c r="D4605" s="7"/>
      <c r="E4605" s="9"/>
      <c r="F4605" s="9"/>
    </row>
    <row r="4606" ht="13.5" customHeight="1">
      <c r="A4606" s="18"/>
      <c r="B4606" s="18" t="s">
        <v>17</v>
      </c>
      <c r="C4606" s="18" t="s">
        <v>18</v>
      </c>
      <c r="D4606" s="18" t="s">
        <v>19</v>
      </c>
      <c r="E4606" s="18" t="s">
        <v>20</v>
      </c>
      <c r="F4606" s="18" t="s">
        <v>21</v>
      </c>
    </row>
    <row r="4607" ht="13.5" customHeight="1">
      <c r="D4607" s="7"/>
      <c r="E4607" s="14" t="s">
        <v>77</v>
      </c>
      <c r="F4607" s="46">
        <f>F4589+F4597+F4603</f>
        <v>83600</v>
      </c>
    </row>
    <row r="4608" ht="13.5" customHeight="1">
      <c r="D4608" s="7"/>
      <c r="E4608" s="14" t="s">
        <v>6</v>
      </c>
      <c r="F4608" s="46">
        <f>ROUND(F4607*F4578,0)</f>
        <v>12540</v>
      </c>
    </row>
    <row r="4609" ht="13.5" customHeight="1">
      <c r="D4609" s="7"/>
      <c r="E4609" s="14" t="s">
        <v>8</v>
      </c>
      <c r="F4609" s="46">
        <f>ROUND(F4607*F4579,0)</f>
        <v>16720</v>
      </c>
    </row>
    <row r="4610" ht="13.5" customHeight="1">
      <c r="D4610" s="7"/>
      <c r="E4610" s="14" t="s">
        <v>81</v>
      </c>
      <c r="F4610" s="46">
        <f>F4607+F4608+F4609</f>
        <v>112860</v>
      </c>
    </row>
    <row r="4611" ht="13.5" customHeight="1">
      <c r="D4611" s="7"/>
      <c r="E4611" s="14" t="s">
        <v>82</v>
      </c>
      <c r="F4611" s="46">
        <f>ROUND(F4610*F4580,0)</f>
        <v>21443</v>
      </c>
    </row>
    <row r="4612" ht="13.5" customHeight="1">
      <c r="D4612" s="14" t="s">
        <v>425</v>
      </c>
      <c r="E4612" s="18" t="s">
        <v>84</v>
      </c>
      <c r="F4612" s="53">
        <f>F4610+F4611</f>
        <v>134303</v>
      </c>
    </row>
    <row r="4613" ht="13.5" customHeight="1"/>
    <row r="4614" ht="13.5" customHeight="1"/>
    <row r="4615" ht="13.5" customHeight="1"/>
    <row r="4616" ht="13.5" customHeight="1"/>
    <row r="4617" ht="13.5" customHeight="1"/>
    <row r="4618" ht="13.5" customHeight="1"/>
    <row r="4619" ht="13.5" customHeight="1"/>
    <row r="4620" ht="13.5" customHeight="1"/>
    <row r="4621" ht="13.5" customHeight="1">
      <c r="A4621" s="3" t="s">
        <v>1</v>
      </c>
      <c r="B4621" s="5">
        <v>25.0</v>
      </c>
      <c r="C4621" s="3" t="s">
        <v>2</v>
      </c>
      <c r="D4621" s="7"/>
      <c r="E4621" s="3" t="s">
        <v>3</v>
      </c>
      <c r="F4621" s="9"/>
    </row>
    <row r="4622" ht="13.5" customHeight="1">
      <c r="A4622" s="3" t="s">
        <v>4</v>
      </c>
      <c r="B4622" s="5" t="s">
        <v>30</v>
      </c>
      <c r="D4622" s="7"/>
      <c r="E4622" s="3" t="s">
        <v>6</v>
      </c>
      <c r="F4622" s="10">
        <v>0.15</v>
      </c>
    </row>
    <row r="4623" ht="13.5" customHeight="1">
      <c r="D4623" s="7"/>
      <c r="E4623" s="3" t="s">
        <v>8</v>
      </c>
      <c r="F4623" s="10">
        <v>0.2</v>
      </c>
    </row>
    <row r="4624" ht="13.5" customHeight="1">
      <c r="B4624" s="5" t="s">
        <v>659</v>
      </c>
      <c r="D4624" s="7"/>
      <c r="E4624" s="3" t="s">
        <v>10</v>
      </c>
      <c r="F4624" s="10">
        <v>0.19</v>
      </c>
    </row>
    <row r="4625" ht="13.5" customHeight="1">
      <c r="A4625" s="14" t="s">
        <v>11</v>
      </c>
      <c r="D4625" s="7"/>
      <c r="E4625" s="9"/>
      <c r="F4625" s="9"/>
    </row>
    <row r="4626" ht="13.5" customHeight="1">
      <c r="A4626" s="18" t="s">
        <v>15</v>
      </c>
      <c r="B4626" s="18" t="s">
        <v>17</v>
      </c>
      <c r="C4626" s="18" t="s">
        <v>18</v>
      </c>
      <c r="D4626" s="18" t="s">
        <v>19</v>
      </c>
      <c r="E4626" s="18" t="s">
        <v>20</v>
      </c>
      <c r="F4626" s="18" t="s">
        <v>21</v>
      </c>
    </row>
    <row r="4627" ht="13.5" customHeight="1">
      <c r="A4627" s="21" t="s">
        <v>22</v>
      </c>
      <c r="B4627" s="21" t="s">
        <v>660</v>
      </c>
      <c r="C4627" s="21" t="s">
        <v>30</v>
      </c>
      <c r="D4627" s="21">
        <v>1.0</v>
      </c>
      <c r="E4627" s="21">
        <v>180000.0</v>
      </c>
      <c r="F4627" s="33">
        <f t="shared" ref="F4627:F4628" si="219">ROUND(IFERROR(D4627*E4627,0),0)</f>
        <v>180000</v>
      </c>
    </row>
    <row r="4628" ht="13.5" customHeight="1">
      <c r="A4628" s="21" t="s">
        <v>27</v>
      </c>
      <c r="B4628" s="21" t="s">
        <v>658</v>
      </c>
      <c r="C4628" s="21" t="s">
        <v>34</v>
      </c>
      <c r="D4628" s="21">
        <v>1.0</v>
      </c>
      <c r="E4628" s="21">
        <v>1200.0</v>
      </c>
      <c r="F4628" s="33">
        <f t="shared" si="219"/>
        <v>1200</v>
      </c>
    </row>
    <row r="4629" ht="13.5" customHeight="1">
      <c r="A4629" s="21" t="s">
        <v>32</v>
      </c>
      <c r="B4629" s="21"/>
      <c r="C4629" s="21"/>
      <c r="D4629" s="21"/>
      <c r="E4629" s="279"/>
      <c r="F4629" s="33"/>
    </row>
    <row r="4630" ht="13.5" customHeight="1">
      <c r="A4630" s="21" t="s">
        <v>99</v>
      </c>
      <c r="B4630" s="21"/>
      <c r="C4630" s="21"/>
      <c r="D4630" s="21"/>
      <c r="E4630" s="279"/>
      <c r="F4630" s="33"/>
    </row>
    <row r="4631" ht="13.5" customHeight="1">
      <c r="A4631" s="21"/>
      <c r="B4631" s="21"/>
      <c r="C4631" s="21"/>
      <c r="D4631" s="21"/>
      <c r="E4631" s="279"/>
      <c r="F4631" s="33"/>
    </row>
    <row r="4632" ht="13.5" customHeight="1">
      <c r="A4632" s="21"/>
      <c r="B4632" s="21"/>
      <c r="C4632" s="21"/>
      <c r="D4632" s="21"/>
      <c r="E4632" s="279"/>
      <c r="F4632" s="33"/>
    </row>
    <row r="4633" ht="13.5" customHeight="1">
      <c r="D4633" s="7"/>
      <c r="E4633" s="14" t="s">
        <v>37</v>
      </c>
      <c r="F4633" s="46">
        <f>SUM(F4627:F4632)</f>
        <v>181200</v>
      </c>
    </row>
    <row r="4634" ht="13.5" customHeight="1">
      <c r="D4634" s="7"/>
      <c r="E4634" s="9"/>
      <c r="F4634" s="9"/>
    </row>
    <row r="4635" ht="13.5" customHeight="1">
      <c r="A4635" s="14" t="s">
        <v>44</v>
      </c>
      <c r="D4635" s="7"/>
      <c r="E4635" s="9"/>
      <c r="F4635" s="9"/>
    </row>
    <row r="4636" ht="13.5" customHeight="1">
      <c r="A4636" s="18" t="s">
        <v>15</v>
      </c>
      <c r="B4636" s="18" t="s">
        <v>17</v>
      </c>
      <c r="C4636" s="18" t="s">
        <v>18</v>
      </c>
      <c r="D4636" s="18" t="s">
        <v>19</v>
      </c>
      <c r="E4636" s="18" t="s">
        <v>20</v>
      </c>
      <c r="F4636" s="18" t="s">
        <v>21</v>
      </c>
    </row>
    <row r="4637" ht="13.5" customHeight="1">
      <c r="A4637" s="21" t="s">
        <v>22</v>
      </c>
      <c r="B4637" s="21" t="s">
        <v>345</v>
      </c>
      <c r="C4637" s="21" t="s">
        <v>51</v>
      </c>
      <c r="D4637" s="187">
        <f>ROUND(1/B4621,2)</f>
        <v>0.04</v>
      </c>
      <c r="E4637" s="21">
        <v>65000.0</v>
      </c>
      <c r="F4637" s="33">
        <f t="shared" ref="F4637:F4638" si="220">ROUND(IFERROR(D4637*E4637,0),0)</f>
        <v>2600</v>
      </c>
    </row>
    <row r="4638" ht="13.5" customHeight="1">
      <c r="A4638" s="21" t="s">
        <v>27</v>
      </c>
      <c r="B4638" s="21" t="s">
        <v>54</v>
      </c>
      <c r="C4638" s="21" t="s">
        <v>51</v>
      </c>
      <c r="D4638" s="187">
        <f>ROUND(1/B4621,2)</f>
        <v>0.04</v>
      </c>
      <c r="E4638" s="21">
        <v>50000.0</v>
      </c>
      <c r="F4638" s="33">
        <f t="shared" si="220"/>
        <v>2000</v>
      </c>
    </row>
    <row r="4639" ht="13.5" customHeight="1">
      <c r="D4639" s="7"/>
      <c r="E4639" s="14" t="s">
        <v>37</v>
      </c>
      <c r="F4639" s="46">
        <f>SUM(F4637:F4638)</f>
        <v>4600</v>
      </c>
    </row>
    <row r="4640" ht="13.5" customHeight="1">
      <c r="D4640" s="7"/>
      <c r="E4640" s="14" t="s">
        <v>59</v>
      </c>
      <c r="F4640" s="46">
        <f>ROUND(F4639*0.5,0)</f>
        <v>2300</v>
      </c>
    </row>
    <row r="4641" ht="13.5" customHeight="1">
      <c r="D4641" s="7"/>
      <c r="E4641" s="14" t="s">
        <v>60</v>
      </c>
      <c r="F4641" s="46">
        <f>F4639+F4640</f>
        <v>6900</v>
      </c>
    </row>
    <row r="4642" ht="13.5" customHeight="1">
      <c r="D4642" s="7"/>
      <c r="E4642" s="9"/>
      <c r="F4642" s="48"/>
    </row>
    <row r="4643" ht="13.5" customHeight="1">
      <c r="A4643" s="14" t="s">
        <v>62</v>
      </c>
      <c r="D4643" s="7"/>
      <c r="E4643" s="9"/>
      <c r="F4643" s="9"/>
    </row>
    <row r="4644" ht="13.5" customHeight="1">
      <c r="A4644" s="18" t="s">
        <v>15</v>
      </c>
      <c r="B4644" s="18" t="s">
        <v>17</v>
      </c>
      <c r="C4644" s="18" t="s">
        <v>18</v>
      </c>
      <c r="D4644" s="18" t="s">
        <v>19</v>
      </c>
      <c r="E4644" s="18" t="s">
        <v>20</v>
      </c>
      <c r="F4644" s="18" t="s">
        <v>21</v>
      </c>
    </row>
    <row r="4645" ht="13.5" customHeight="1">
      <c r="A4645" s="21" t="s">
        <v>22</v>
      </c>
      <c r="B4645" s="21" t="s">
        <v>394</v>
      </c>
      <c r="C4645" s="21" t="s">
        <v>51</v>
      </c>
      <c r="D4645" s="144">
        <f>ROUND(1/B4621,2)</f>
        <v>0.04</v>
      </c>
      <c r="E4645" s="21">
        <v>45000.0</v>
      </c>
      <c r="F4645" s="33">
        <f>ROUND(IFERROR(D4645*E4645,0),0)</f>
        <v>1800</v>
      </c>
    </row>
    <row r="4646" ht="13.5" customHeight="1">
      <c r="A4646" s="21"/>
      <c r="B4646" s="21"/>
      <c r="C4646" s="21"/>
      <c r="D4646" s="144"/>
      <c r="E4646" s="21"/>
      <c r="F4646" s="33"/>
    </row>
    <row r="4647" ht="13.5" customHeight="1">
      <c r="D4647" s="7"/>
      <c r="E4647" s="14" t="s">
        <v>37</v>
      </c>
      <c r="F4647" s="46">
        <f>SUM(F4645:F4646)</f>
        <v>1800</v>
      </c>
    </row>
    <row r="4648" ht="13.5" customHeight="1">
      <c r="D4648" s="7"/>
      <c r="E4648" s="9"/>
      <c r="F4648" s="9"/>
    </row>
    <row r="4649" ht="13.5" customHeight="1">
      <c r="A4649" s="14" t="s">
        <v>74</v>
      </c>
      <c r="D4649" s="7"/>
      <c r="E4649" s="9"/>
      <c r="F4649" s="9"/>
    </row>
    <row r="4650" ht="13.5" customHeight="1">
      <c r="A4650" s="18"/>
      <c r="B4650" s="18" t="s">
        <v>17</v>
      </c>
      <c r="C4650" s="18" t="s">
        <v>18</v>
      </c>
      <c r="D4650" s="18" t="s">
        <v>19</v>
      </c>
      <c r="E4650" s="18" t="s">
        <v>20</v>
      </c>
      <c r="F4650" s="18" t="s">
        <v>21</v>
      </c>
    </row>
    <row r="4651" ht="13.5" customHeight="1">
      <c r="D4651" s="7"/>
      <c r="E4651" s="14" t="s">
        <v>77</v>
      </c>
      <c r="F4651" s="46">
        <f>F4633+F4641+F4647</f>
        <v>189900</v>
      </c>
    </row>
    <row r="4652" ht="13.5" customHeight="1">
      <c r="D4652" s="7"/>
      <c r="E4652" s="14" t="s">
        <v>6</v>
      </c>
      <c r="F4652" s="46">
        <f>ROUND(F4651*F4622,0)</f>
        <v>28485</v>
      </c>
    </row>
    <row r="4653" ht="13.5" customHeight="1">
      <c r="D4653" s="7"/>
      <c r="E4653" s="14" t="s">
        <v>8</v>
      </c>
      <c r="F4653" s="46">
        <f>ROUND(F4651*F4623,0)</f>
        <v>37980</v>
      </c>
    </row>
    <row r="4654" ht="13.5" customHeight="1">
      <c r="D4654" s="7"/>
      <c r="E4654" s="14" t="s">
        <v>81</v>
      </c>
      <c r="F4654" s="46">
        <f>F4651+F4652+F4653</f>
        <v>256365</v>
      </c>
    </row>
    <row r="4655" ht="13.5" customHeight="1">
      <c r="D4655" s="7"/>
      <c r="E4655" s="14" t="s">
        <v>82</v>
      </c>
      <c r="F4655" s="46">
        <f>ROUND(F4654*F4624,0)</f>
        <v>48709</v>
      </c>
    </row>
    <row r="4656" ht="13.5" customHeight="1">
      <c r="D4656" s="14" t="s">
        <v>425</v>
      </c>
      <c r="E4656" s="18" t="s">
        <v>84</v>
      </c>
      <c r="F4656" s="53">
        <f>F4654+F4655</f>
        <v>305074</v>
      </c>
    </row>
    <row r="4657" ht="13.5" customHeight="1"/>
    <row r="4658" ht="13.5" customHeight="1"/>
    <row r="4659" ht="13.5" customHeight="1"/>
    <row r="4660" ht="13.5" customHeight="1"/>
    <row r="4661" ht="13.5" customHeight="1"/>
    <row r="4662" ht="13.5" customHeight="1"/>
    <row r="4663" ht="13.5" customHeight="1"/>
    <row r="4664" ht="13.5" customHeight="1"/>
    <row r="4665" ht="13.5" customHeight="1">
      <c r="A4665" s="3" t="s">
        <v>1</v>
      </c>
      <c r="B4665" s="5">
        <v>8.9</v>
      </c>
      <c r="C4665" s="3" t="s">
        <v>2</v>
      </c>
      <c r="D4665" s="7"/>
      <c r="E4665" s="3" t="s">
        <v>3</v>
      </c>
      <c r="F4665" s="9"/>
    </row>
    <row r="4666" ht="13.5" customHeight="1">
      <c r="A4666" s="3" t="s">
        <v>4</v>
      </c>
      <c r="B4666" s="5" t="s">
        <v>30</v>
      </c>
      <c r="D4666" s="7"/>
      <c r="E4666" s="3" t="s">
        <v>6</v>
      </c>
      <c r="F4666" s="10">
        <v>0.15</v>
      </c>
    </row>
    <row r="4667" ht="13.5" customHeight="1">
      <c r="D4667" s="7"/>
      <c r="E4667" s="3" t="s">
        <v>8</v>
      </c>
      <c r="F4667" s="10">
        <v>0.2</v>
      </c>
    </row>
    <row r="4668" ht="13.5" customHeight="1">
      <c r="B4668" s="5" t="s">
        <v>661</v>
      </c>
      <c r="D4668" s="7"/>
      <c r="E4668" s="3" t="s">
        <v>10</v>
      </c>
      <c r="F4668" s="10">
        <v>0.19</v>
      </c>
    </row>
    <row r="4669" ht="13.5" customHeight="1">
      <c r="A4669" s="14" t="s">
        <v>11</v>
      </c>
      <c r="D4669" s="7"/>
      <c r="E4669" s="9"/>
      <c r="F4669" s="9"/>
    </row>
    <row r="4670" ht="13.5" customHeight="1">
      <c r="A4670" s="18" t="s">
        <v>15</v>
      </c>
      <c r="B4670" s="18" t="s">
        <v>17</v>
      </c>
      <c r="C4670" s="18" t="s">
        <v>18</v>
      </c>
      <c r="D4670" s="18" t="s">
        <v>19</v>
      </c>
      <c r="E4670" s="18" t="s">
        <v>20</v>
      </c>
      <c r="F4670" s="18" t="s">
        <v>21</v>
      </c>
    </row>
    <row r="4671" ht="13.5" customHeight="1">
      <c r="A4671" s="21" t="s">
        <v>22</v>
      </c>
      <c r="B4671" s="21" t="s">
        <v>662</v>
      </c>
      <c r="C4671" s="21" t="s">
        <v>30</v>
      </c>
      <c r="D4671" s="21">
        <v>1.0</v>
      </c>
      <c r="E4671" s="21">
        <v>2500000.0</v>
      </c>
      <c r="F4671" s="33">
        <f t="shared" ref="F4671:F4672" si="221">ROUND(IFERROR(D4671*E4671,0),0)</f>
        <v>2500000</v>
      </c>
    </row>
    <row r="4672" ht="13.5" customHeight="1">
      <c r="A4672" s="21" t="s">
        <v>27</v>
      </c>
      <c r="B4672" s="21" t="s">
        <v>658</v>
      </c>
      <c r="C4672" s="21" t="s">
        <v>34</v>
      </c>
      <c r="D4672" s="21">
        <v>1.0</v>
      </c>
      <c r="E4672" s="21">
        <v>1200.0</v>
      </c>
      <c r="F4672" s="33">
        <f t="shared" si="221"/>
        <v>1200</v>
      </c>
    </row>
    <row r="4673" ht="13.5" customHeight="1">
      <c r="A4673" s="21" t="s">
        <v>32</v>
      </c>
      <c r="B4673" s="21"/>
      <c r="C4673" s="21"/>
      <c r="D4673" s="21"/>
      <c r="E4673" s="279"/>
      <c r="F4673" s="33"/>
    </row>
    <row r="4674" ht="13.5" customHeight="1">
      <c r="A4674" s="21" t="s">
        <v>99</v>
      </c>
      <c r="B4674" s="21"/>
      <c r="C4674" s="21"/>
      <c r="D4674" s="21"/>
      <c r="E4674" s="279"/>
      <c r="F4674" s="33"/>
    </row>
    <row r="4675" ht="13.5" customHeight="1">
      <c r="A4675" s="21"/>
      <c r="B4675" s="21"/>
      <c r="C4675" s="21"/>
      <c r="D4675" s="21"/>
      <c r="E4675" s="279"/>
      <c r="F4675" s="33"/>
    </row>
    <row r="4676" ht="13.5" customHeight="1">
      <c r="A4676" s="21"/>
      <c r="B4676" s="21"/>
      <c r="C4676" s="21"/>
      <c r="D4676" s="21"/>
      <c r="E4676" s="279"/>
      <c r="F4676" s="33"/>
    </row>
    <row r="4677" ht="13.5" customHeight="1">
      <c r="D4677" s="7"/>
      <c r="E4677" s="14" t="s">
        <v>37</v>
      </c>
      <c r="F4677" s="46">
        <f>SUM(F4671:F4676)</f>
        <v>2501200</v>
      </c>
    </row>
    <row r="4678" ht="13.5" customHeight="1">
      <c r="D4678" s="7"/>
      <c r="E4678" s="9"/>
      <c r="F4678" s="9"/>
    </row>
    <row r="4679" ht="13.5" customHeight="1">
      <c r="A4679" s="14" t="s">
        <v>44</v>
      </c>
      <c r="D4679" s="7"/>
      <c r="E4679" s="9"/>
      <c r="F4679" s="9"/>
    </row>
    <row r="4680" ht="13.5" customHeight="1">
      <c r="A4680" s="18" t="s">
        <v>15</v>
      </c>
      <c r="B4680" s="18" t="s">
        <v>17</v>
      </c>
      <c r="C4680" s="18" t="s">
        <v>18</v>
      </c>
      <c r="D4680" s="18" t="s">
        <v>19</v>
      </c>
      <c r="E4680" s="18" t="s">
        <v>20</v>
      </c>
      <c r="F4680" s="18" t="s">
        <v>21</v>
      </c>
    </row>
    <row r="4681" ht="13.5" customHeight="1">
      <c r="A4681" s="21" t="s">
        <v>22</v>
      </c>
      <c r="B4681" s="21" t="s">
        <v>345</v>
      </c>
      <c r="C4681" s="21" t="s">
        <v>51</v>
      </c>
      <c r="D4681" s="187">
        <f>ROUND(1/B4665,2)</f>
        <v>0.11</v>
      </c>
      <c r="E4681" s="21">
        <v>65000.0</v>
      </c>
      <c r="F4681" s="33">
        <f t="shared" ref="F4681:F4682" si="222">ROUND(IFERROR(D4681*E4681,0),0)</f>
        <v>7150</v>
      </c>
    </row>
    <row r="4682" ht="13.5" customHeight="1">
      <c r="A4682" s="21" t="s">
        <v>27</v>
      </c>
      <c r="B4682" s="21" t="s">
        <v>54</v>
      </c>
      <c r="C4682" s="21" t="s">
        <v>51</v>
      </c>
      <c r="D4682" s="187">
        <f>ROUND(1/B4665,2)</f>
        <v>0.11</v>
      </c>
      <c r="E4682" s="21">
        <v>50000.0</v>
      </c>
      <c r="F4682" s="33">
        <f t="shared" si="222"/>
        <v>5500</v>
      </c>
    </row>
    <row r="4683" ht="13.5" customHeight="1">
      <c r="D4683" s="7"/>
      <c r="E4683" s="14" t="s">
        <v>37</v>
      </c>
      <c r="F4683" s="46">
        <f>SUM(F4681:F4682)</f>
        <v>12650</v>
      </c>
    </row>
    <row r="4684" ht="13.5" customHeight="1">
      <c r="D4684" s="7"/>
      <c r="E4684" s="14" t="s">
        <v>59</v>
      </c>
      <c r="F4684" s="46">
        <f>ROUND(F4683*0.5,0)</f>
        <v>6325</v>
      </c>
    </row>
    <row r="4685" ht="13.5" customHeight="1">
      <c r="D4685" s="7"/>
      <c r="E4685" s="14" t="s">
        <v>60</v>
      </c>
      <c r="F4685" s="46">
        <f>F4683+F4684</f>
        <v>18975</v>
      </c>
    </row>
    <row r="4686" ht="13.5" customHeight="1">
      <c r="D4686" s="7"/>
      <c r="E4686" s="9"/>
      <c r="F4686" s="9"/>
    </row>
    <row r="4687" ht="13.5" customHeight="1">
      <c r="A4687" s="14" t="s">
        <v>62</v>
      </c>
      <c r="D4687" s="7"/>
      <c r="E4687" s="9"/>
      <c r="F4687" s="9"/>
    </row>
    <row r="4688" ht="13.5" customHeight="1">
      <c r="A4688" s="18" t="s">
        <v>15</v>
      </c>
      <c r="B4688" s="18" t="s">
        <v>17</v>
      </c>
      <c r="C4688" s="18" t="s">
        <v>18</v>
      </c>
      <c r="D4688" s="18" t="s">
        <v>19</v>
      </c>
      <c r="E4688" s="18" t="s">
        <v>20</v>
      </c>
      <c r="F4688" s="18" t="s">
        <v>21</v>
      </c>
    </row>
    <row r="4689" ht="13.5" customHeight="1">
      <c r="A4689" s="21" t="s">
        <v>22</v>
      </c>
      <c r="B4689" s="21" t="s">
        <v>394</v>
      </c>
      <c r="C4689" s="21" t="s">
        <v>51</v>
      </c>
      <c r="D4689" s="144">
        <f>ROUND(1/B4665,2)</f>
        <v>0.11</v>
      </c>
      <c r="E4689" s="21">
        <v>45000.0</v>
      </c>
      <c r="F4689" s="33">
        <f>ROUND(IFERROR(D4689*E4689,0),0)</f>
        <v>4950</v>
      </c>
    </row>
    <row r="4690" ht="13.5" customHeight="1">
      <c r="A4690" s="21"/>
      <c r="B4690" s="21"/>
      <c r="C4690" s="21"/>
      <c r="D4690" s="144"/>
      <c r="E4690" s="21"/>
      <c r="F4690" s="33"/>
    </row>
    <row r="4691" ht="13.5" customHeight="1">
      <c r="D4691" s="7"/>
      <c r="E4691" s="14" t="s">
        <v>37</v>
      </c>
      <c r="F4691" s="46">
        <f>SUM(F4689:F4690)</f>
        <v>4950</v>
      </c>
    </row>
    <row r="4692" ht="13.5" customHeight="1">
      <c r="D4692" s="7"/>
      <c r="E4692" s="9"/>
      <c r="F4692" s="48"/>
    </row>
    <row r="4693" ht="13.5" customHeight="1">
      <c r="A4693" s="14" t="s">
        <v>74</v>
      </c>
      <c r="D4693" s="7"/>
      <c r="E4693" s="9"/>
      <c r="F4693" s="9"/>
    </row>
    <row r="4694" ht="13.5" customHeight="1">
      <c r="A4694" s="18"/>
      <c r="B4694" s="18" t="s">
        <v>17</v>
      </c>
      <c r="C4694" s="18" t="s">
        <v>18</v>
      </c>
      <c r="D4694" s="18" t="s">
        <v>19</v>
      </c>
      <c r="E4694" s="18" t="s">
        <v>20</v>
      </c>
      <c r="F4694" s="18" t="s">
        <v>21</v>
      </c>
    </row>
    <row r="4695" ht="13.5" customHeight="1">
      <c r="D4695" s="7"/>
      <c r="E4695" s="14" t="s">
        <v>77</v>
      </c>
      <c r="F4695" s="46">
        <f>F4677+F4685+F4691</f>
        <v>2525125</v>
      </c>
    </row>
    <row r="4696" ht="13.5" customHeight="1">
      <c r="D4696" s="7"/>
      <c r="E4696" s="14" t="s">
        <v>6</v>
      </c>
      <c r="F4696" s="46">
        <f>ROUND(F4695*F4666,0)</f>
        <v>378769</v>
      </c>
    </row>
    <row r="4697" ht="13.5" customHeight="1">
      <c r="D4697" s="7"/>
      <c r="E4697" s="14" t="s">
        <v>8</v>
      </c>
      <c r="F4697" s="46">
        <f>ROUND(F4695*F4667,0)</f>
        <v>505025</v>
      </c>
    </row>
    <row r="4698" ht="13.5" customHeight="1">
      <c r="D4698" s="7"/>
      <c r="E4698" s="14" t="s">
        <v>81</v>
      </c>
      <c r="F4698" s="46">
        <f>F4695+F4696+F4697</f>
        <v>3408919</v>
      </c>
    </row>
    <row r="4699" ht="13.5" customHeight="1">
      <c r="D4699" s="7"/>
      <c r="E4699" s="14" t="s">
        <v>82</v>
      </c>
      <c r="F4699" s="46">
        <f>ROUND(F4698*F4668,0)</f>
        <v>647695</v>
      </c>
    </row>
    <row r="4700" ht="13.5" customHeight="1">
      <c r="D4700" s="14" t="s">
        <v>425</v>
      </c>
      <c r="E4700" s="18" t="s">
        <v>84</v>
      </c>
      <c r="F4700" s="53">
        <f>F4698+F4699</f>
        <v>4056614</v>
      </c>
    </row>
    <row r="4701" ht="13.5" customHeight="1"/>
    <row r="4702" ht="13.5" customHeight="1"/>
    <row r="4703" ht="13.5" customHeight="1"/>
    <row r="4704" ht="13.5" customHeight="1"/>
    <row r="4705" ht="13.5" customHeight="1"/>
    <row r="4706" ht="13.5" customHeight="1"/>
    <row r="4707" ht="13.5" customHeight="1"/>
    <row r="4708" ht="13.5" customHeight="1"/>
    <row r="4709" ht="13.5" customHeight="1">
      <c r="A4709" s="3" t="s">
        <v>1</v>
      </c>
      <c r="B4709" s="5">
        <v>2.5</v>
      </c>
      <c r="C4709" s="3" t="s">
        <v>2</v>
      </c>
      <c r="D4709" s="7"/>
      <c r="E4709" s="3" t="s">
        <v>3</v>
      </c>
      <c r="F4709" s="9"/>
    </row>
    <row r="4710" ht="13.5" customHeight="1">
      <c r="A4710" s="3" t="s">
        <v>4</v>
      </c>
      <c r="B4710" s="5" t="s">
        <v>30</v>
      </c>
      <c r="D4710" s="7"/>
      <c r="E4710" s="3" t="s">
        <v>6</v>
      </c>
      <c r="F4710" s="10">
        <v>0.15</v>
      </c>
    </row>
    <row r="4711" ht="13.5" customHeight="1">
      <c r="D4711" s="7"/>
      <c r="E4711" s="3" t="s">
        <v>8</v>
      </c>
      <c r="F4711" s="10">
        <v>0.2</v>
      </c>
    </row>
    <row r="4712" ht="13.5" customHeight="1">
      <c r="B4712" s="5" t="s">
        <v>663</v>
      </c>
      <c r="D4712" s="7"/>
      <c r="E4712" s="3" t="s">
        <v>10</v>
      </c>
      <c r="F4712" s="10">
        <v>0.19</v>
      </c>
    </row>
    <row r="4713" ht="13.5" customHeight="1">
      <c r="A4713" s="14" t="s">
        <v>11</v>
      </c>
      <c r="D4713" s="7"/>
      <c r="E4713" s="9"/>
      <c r="F4713" s="9"/>
    </row>
    <row r="4714" ht="13.5" customHeight="1">
      <c r="A4714" s="18" t="s">
        <v>15</v>
      </c>
      <c r="B4714" s="18" t="s">
        <v>17</v>
      </c>
      <c r="C4714" s="18" t="s">
        <v>18</v>
      </c>
      <c r="D4714" s="18" t="s">
        <v>19</v>
      </c>
      <c r="E4714" s="18" t="s">
        <v>20</v>
      </c>
      <c r="F4714" s="18" t="s">
        <v>21</v>
      </c>
    </row>
    <row r="4715" ht="13.5" customHeight="1">
      <c r="A4715" s="21" t="s">
        <v>22</v>
      </c>
      <c r="B4715" s="21" t="s">
        <v>664</v>
      </c>
      <c r="C4715" s="21" t="s">
        <v>30</v>
      </c>
      <c r="D4715" s="21">
        <v>1.0</v>
      </c>
      <c r="E4715" s="21">
        <v>1200000.0</v>
      </c>
      <c r="F4715" s="33">
        <f t="shared" ref="F4715:F4716" si="223">ROUND(IFERROR(D4715*E4715,0),0)</f>
        <v>1200000</v>
      </c>
    </row>
    <row r="4716" ht="13.5" customHeight="1">
      <c r="A4716" s="21" t="s">
        <v>27</v>
      </c>
      <c r="B4716" s="21" t="s">
        <v>658</v>
      </c>
      <c r="C4716" s="21" t="s">
        <v>34</v>
      </c>
      <c r="D4716" s="21">
        <v>1.0</v>
      </c>
      <c r="E4716" s="21">
        <v>1200.0</v>
      </c>
      <c r="F4716" s="33">
        <f t="shared" si="223"/>
        <v>1200</v>
      </c>
    </row>
    <row r="4717" ht="13.5" customHeight="1">
      <c r="A4717" s="21" t="s">
        <v>32</v>
      </c>
      <c r="B4717" s="21"/>
      <c r="C4717" s="21"/>
      <c r="D4717" s="21"/>
      <c r="E4717" s="279"/>
      <c r="F4717" s="33"/>
    </row>
    <row r="4718" ht="13.5" customHeight="1">
      <c r="A4718" s="21" t="s">
        <v>99</v>
      </c>
      <c r="B4718" s="21"/>
      <c r="C4718" s="21"/>
      <c r="D4718" s="21"/>
      <c r="E4718" s="279"/>
      <c r="F4718" s="33"/>
    </row>
    <row r="4719" ht="13.5" customHeight="1">
      <c r="A4719" s="21"/>
      <c r="B4719" s="21"/>
      <c r="C4719" s="21"/>
      <c r="D4719" s="21"/>
      <c r="E4719" s="279"/>
      <c r="F4719" s="33"/>
    </row>
    <row r="4720" ht="13.5" customHeight="1">
      <c r="A4720" s="21"/>
      <c r="B4720" s="21"/>
      <c r="C4720" s="21"/>
      <c r="D4720" s="21"/>
      <c r="E4720" s="279"/>
      <c r="F4720" s="33"/>
    </row>
    <row r="4721" ht="13.5" customHeight="1">
      <c r="D4721" s="7"/>
      <c r="E4721" s="14" t="s">
        <v>37</v>
      </c>
      <c r="F4721" s="46">
        <f>SUM(F4715:F4720)</f>
        <v>1201200</v>
      </c>
    </row>
    <row r="4722" ht="13.5" customHeight="1">
      <c r="D4722" s="7"/>
      <c r="E4722" s="9"/>
      <c r="F4722" s="9"/>
    </row>
    <row r="4723" ht="13.5" customHeight="1">
      <c r="A4723" s="14" t="s">
        <v>44</v>
      </c>
      <c r="D4723" s="7"/>
      <c r="E4723" s="9"/>
      <c r="F4723" s="9"/>
    </row>
    <row r="4724" ht="13.5" customHeight="1">
      <c r="A4724" s="18" t="s">
        <v>15</v>
      </c>
      <c r="B4724" s="18" t="s">
        <v>17</v>
      </c>
      <c r="C4724" s="18" t="s">
        <v>18</v>
      </c>
      <c r="D4724" s="18" t="s">
        <v>19</v>
      </c>
      <c r="E4724" s="18" t="s">
        <v>20</v>
      </c>
      <c r="F4724" s="18" t="s">
        <v>21</v>
      </c>
    </row>
    <row r="4725" ht="13.5" customHeight="1">
      <c r="A4725" s="21" t="s">
        <v>22</v>
      </c>
      <c r="B4725" s="21" t="s">
        <v>345</v>
      </c>
      <c r="C4725" s="21" t="s">
        <v>51</v>
      </c>
      <c r="D4725" s="187">
        <f>ROUND(1/B4709,2)</f>
        <v>0.4</v>
      </c>
      <c r="E4725" s="21">
        <v>65000.0</v>
      </c>
      <c r="F4725" s="33">
        <f t="shared" ref="F4725:F4726" si="224">ROUND(IFERROR(D4725*E4725,0),0)</f>
        <v>26000</v>
      </c>
    </row>
    <row r="4726" ht="13.5" customHeight="1">
      <c r="A4726" s="21" t="s">
        <v>27</v>
      </c>
      <c r="B4726" s="21" t="s">
        <v>54</v>
      </c>
      <c r="C4726" s="21" t="s">
        <v>51</v>
      </c>
      <c r="D4726" s="187">
        <f>ROUND(1/B4709,2)</f>
        <v>0.4</v>
      </c>
      <c r="E4726" s="21">
        <v>50000.0</v>
      </c>
      <c r="F4726" s="33">
        <f t="shared" si="224"/>
        <v>20000</v>
      </c>
    </row>
    <row r="4727" ht="13.5" customHeight="1">
      <c r="D4727" s="7"/>
      <c r="E4727" s="14" t="s">
        <v>37</v>
      </c>
      <c r="F4727" s="46">
        <f>SUM(F4725:F4726)</f>
        <v>46000</v>
      </c>
    </row>
    <row r="4728" ht="13.5" customHeight="1">
      <c r="D4728" s="7"/>
      <c r="E4728" s="14" t="s">
        <v>59</v>
      </c>
      <c r="F4728" s="46">
        <f>ROUND(F4727*0.5,0)</f>
        <v>23000</v>
      </c>
    </row>
    <row r="4729" ht="13.5" customHeight="1">
      <c r="D4729" s="7"/>
      <c r="E4729" s="14" t="s">
        <v>60</v>
      </c>
      <c r="F4729" s="46">
        <f>F4727+F4728</f>
        <v>69000</v>
      </c>
    </row>
    <row r="4730" ht="13.5" customHeight="1">
      <c r="D4730" s="7"/>
      <c r="E4730" s="9"/>
      <c r="F4730" s="9"/>
    </row>
    <row r="4731" ht="13.5" customHeight="1">
      <c r="A4731" s="14" t="s">
        <v>62</v>
      </c>
      <c r="D4731" s="7"/>
      <c r="E4731" s="9"/>
      <c r="F4731" s="9"/>
    </row>
    <row r="4732" ht="13.5" customHeight="1">
      <c r="A4732" s="18" t="s">
        <v>15</v>
      </c>
      <c r="B4732" s="18" t="s">
        <v>17</v>
      </c>
      <c r="C4732" s="18" t="s">
        <v>18</v>
      </c>
      <c r="D4732" s="18" t="s">
        <v>19</v>
      </c>
      <c r="E4732" s="18" t="s">
        <v>20</v>
      </c>
      <c r="F4732" s="18" t="s">
        <v>21</v>
      </c>
    </row>
    <row r="4733" ht="13.5" customHeight="1">
      <c r="A4733" s="21" t="s">
        <v>22</v>
      </c>
      <c r="B4733" s="21" t="s">
        <v>394</v>
      </c>
      <c r="C4733" s="21" t="s">
        <v>51</v>
      </c>
      <c r="D4733" s="144">
        <f>1/B4709</f>
        <v>0.4</v>
      </c>
      <c r="E4733" s="21">
        <v>45000.0</v>
      </c>
      <c r="F4733" s="33">
        <f>ROUND(IFERROR(D4733*E4733,0),0)</f>
        <v>18000</v>
      </c>
    </row>
    <row r="4734" ht="13.5" customHeight="1">
      <c r="A4734" s="21"/>
      <c r="B4734" s="21"/>
      <c r="C4734" s="21"/>
      <c r="D4734" s="144"/>
      <c r="E4734" s="21"/>
      <c r="F4734" s="33"/>
    </row>
    <row r="4735" ht="13.5" customHeight="1">
      <c r="D4735" s="7"/>
      <c r="E4735" s="14" t="s">
        <v>37</v>
      </c>
      <c r="F4735" s="46">
        <f>SUM(F4733:F4734)</f>
        <v>18000</v>
      </c>
    </row>
    <row r="4736" ht="13.5" customHeight="1">
      <c r="D4736" s="7"/>
      <c r="E4736" s="9"/>
      <c r="F4736" s="9"/>
    </row>
    <row r="4737" ht="13.5" customHeight="1">
      <c r="A4737" s="14" t="s">
        <v>74</v>
      </c>
      <c r="D4737" s="7"/>
      <c r="E4737" s="9"/>
      <c r="F4737" s="9"/>
    </row>
    <row r="4738" ht="13.5" customHeight="1">
      <c r="A4738" s="18"/>
      <c r="B4738" s="18" t="s">
        <v>17</v>
      </c>
      <c r="C4738" s="18" t="s">
        <v>18</v>
      </c>
      <c r="D4738" s="18" t="s">
        <v>19</v>
      </c>
      <c r="E4738" s="18" t="s">
        <v>20</v>
      </c>
      <c r="F4738" s="18" t="s">
        <v>21</v>
      </c>
    </row>
    <row r="4739" ht="13.5" customHeight="1">
      <c r="D4739" s="7"/>
      <c r="E4739" s="14" t="s">
        <v>77</v>
      </c>
      <c r="F4739" s="46">
        <f>F4721+F4729+F4735</f>
        <v>1288200</v>
      </c>
    </row>
    <row r="4740" ht="13.5" customHeight="1">
      <c r="D4740" s="7"/>
      <c r="E4740" s="14" t="s">
        <v>6</v>
      </c>
      <c r="F4740" s="46">
        <f>ROUND(F4739*F4710,0)</f>
        <v>193230</v>
      </c>
    </row>
    <row r="4741" ht="13.5" customHeight="1">
      <c r="D4741" s="7"/>
      <c r="E4741" s="14" t="s">
        <v>8</v>
      </c>
      <c r="F4741" s="46">
        <f>ROUND(F4739*F4711,0)</f>
        <v>257640</v>
      </c>
    </row>
    <row r="4742" ht="13.5" customHeight="1">
      <c r="D4742" s="7"/>
      <c r="E4742" s="14" t="s">
        <v>81</v>
      </c>
      <c r="F4742" s="46">
        <f>F4739+F4740+F4741</f>
        <v>1739070</v>
      </c>
    </row>
    <row r="4743" ht="13.5" customHeight="1">
      <c r="D4743" s="7"/>
      <c r="E4743" s="14" t="s">
        <v>82</v>
      </c>
      <c r="F4743" s="46">
        <f>ROUND(F4742*F4712,0)</f>
        <v>330423</v>
      </c>
    </row>
    <row r="4744" ht="13.5" customHeight="1">
      <c r="D4744" s="14" t="s">
        <v>425</v>
      </c>
      <c r="E4744" s="18" t="s">
        <v>84</v>
      </c>
      <c r="F4744" s="53">
        <f>F4742+F4743</f>
        <v>2069493</v>
      </c>
    </row>
    <row r="4745" ht="13.5" customHeight="1"/>
    <row r="4746" ht="13.5" customHeight="1"/>
    <row r="4747" ht="13.5" customHeight="1"/>
    <row r="4748" ht="13.5" customHeight="1"/>
    <row r="4749" ht="13.5" customHeight="1"/>
    <row r="4750" ht="13.5" customHeight="1"/>
    <row r="4751" ht="13.5" customHeight="1"/>
    <row r="4752" ht="13.5" customHeight="1"/>
    <row r="4753" ht="13.5" customHeight="1">
      <c r="A4753" s="3" t="s">
        <v>1</v>
      </c>
      <c r="B4753" s="5">
        <v>2.5</v>
      </c>
      <c r="C4753" s="3" t="s">
        <v>2</v>
      </c>
      <c r="D4753" s="7"/>
      <c r="E4753" s="3" t="s">
        <v>3</v>
      </c>
      <c r="F4753" s="9"/>
    </row>
    <row r="4754" ht="13.5" customHeight="1">
      <c r="A4754" s="3" t="s">
        <v>4</v>
      </c>
      <c r="B4754" s="5" t="s">
        <v>30</v>
      </c>
      <c r="D4754" s="7"/>
      <c r="E4754" s="3" t="s">
        <v>6</v>
      </c>
      <c r="F4754" s="10">
        <v>0.15</v>
      </c>
    </row>
    <row r="4755" ht="13.5" customHeight="1">
      <c r="D4755" s="7"/>
      <c r="E4755" s="3" t="s">
        <v>8</v>
      </c>
      <c r="F4755" s="10">
        <v>0.2</v>
      </c>
    </row>
    <row r="4756" ht="13.5" customHeight="1">
      <c r="B4756" s="5" t="s">
        <v>665</v>
      </c>
      <c r="D4756" s="7"/>
      <c r="E4756" s="3" t="s">
        <v>10</v>
      </c>
      <c r="F4756" s="10">
        <v>0.19</v>
      </c>
    </row>
    <row r="4757" ht="13.5" customHeight="1">
      <c r="A4757" s="14" t="s">
        <v>11</v>
      </c>
      <c r="D4757" s="7"/>
      <c r="E4757" s="9"/>
      <c r="F4757" s="9"/>
    </row>
    <row r="4758" ht="13.5" customHeight="1">
      <c r="A4758" s="18" t="s">
        <v>15</v>
      </c>
      <c r="B4758" s="18" t="s">
        <v>17</v>
      </c>
      <c r="C4758" s="18" t="s">
        <v>18</v>
      </c>
      <c r="D4758" s="18" t="s">
        <v>19</v>
      </c>
      <c r="E4758" s="18" t="s">
        <v>20</v>
      </c>
      <c r="F4758" s="18" t="s">
        <v>21</v>
      </c>
    </row>
    <row r="4759" ht="13.5" customHeight="1">
      <c r="A4759" s="21" t="s">
        <v>22</v>
      </c>
      <c r="B4759" s="5" t="s">
        <v>666</v>
      </c>
      <c r="C4759" s="5" t="s">
        <v>30</v>
      </c>
      <c r="D4759" s="5">
        <v>1.0</v>
      </c>
      <c r="E4759" s="5">
        <v>1600000.0</v>
      </c>
      <c r="F4759" s="33">
        <f t="shared" ref="F4759:F4760" si="225">ROUND(IFERROR(D4759*E4759,0),0)</f>
        <v>1600000</v>
      </c>
    </row>
    <row r="4760" ht="13.5" customHeight="1">
      <c r="A4760" s="21" t="s">
        <v>27</v>
      </c>
      <c r="B4760" s="5" t="s">
        <v>658</v>
      </c>
      <c r="C4760" s="5" t="s">
        <v>34</v>
      </c>
      <c r="D4760" s="5">
        <v>1.0</v>
      </c>
      <c r="E4760" s="5">
        <v>1200.0</v>
      </c>
      <c r="F4760" s="33">
        <f t="shared" si="225"/>
        <v>1200</v>
      </c>
    </row>
    <row r="4761" ht="13.5" customHeight="1">
      <c r="A4761" s="21" t="s">
        <v>32</v>
      </c>
      <c r="B4761" s="21"/>
      <c r="C4761" s="21"/>
      <c r="D4761" s="21"/>
      <c r="E4761" s="279"/>
      <c r="F4761" s="33"/>
    </row>
    <row r="4762" ht="13.5" customHeight="1">
      <c r="A4762" s="21" t="s">
        <v>99</v>
      </c>
      <c r="B4762" s="21"/>
      <c r="C4762" s="21"/>
      <c r="D4762" s="21"/>
      <c r="E4762" s="279"/>
      <c r="F4762" s="33"/>
    </row>
    <row r="4763" ht="13.5" customHeight="1">
      <c r="A4763" s="21"/>
      <c r="B4763" s="21"/>
      <c r="C4763" s="21"/>
      <c r="D4763" s="21"/>
      <c r="E4763" s="279"/>
      <c r="F4763" s="33"/>
    </row>
    <row r="4764" ht="13.5" customHeight="1">
      <c r="A4764" s="21"/>
      <c r="B4764" s="21"/>
      <c r="C4764" s="21"/>
      <c r="D4764" s="21"/>
      <c r="E4764" s="279"/>
      <c r="F4764" s="33"/>
    </row>
    <row r="4765" ht="13.5" customHeight="1">
      <c r="D4765" s="7"/>
      <c r="E4765" s="14" t="s">
        <v>37</v>
      </c>
      <c r="F4765" s="46">
        <f>SUM(F4759:F4764)</f>
        <v>1601200</v>
      </c>
    </row>
    <row r="4766" ht="13.5" customHeight="1">
      <c r="D4766" s="7"/>
      <c r="E4766" s="9"/>
      <c r="F4766" s="9"/>
    </row>
    <row r="4767" ht="13.5" customHeight="1">
      <c r="A4767" s="14" t="s">
        <v>44</v>
      </c>
      <c r="D4767" s="7"/>
      <c r="E4767" s="9"/>
      <c r="F4767" s="9"/>
    </row>
    <row r="4768" ht="13.5" customHeight="1">
      <c r="A4768" s="18" t="s">
        <v>15</v>
      </c>
      <c r="B4768" s="18" t="s">
        <v>17</v>
      </c>
      <c r="C4768" s="18" t="s">
        <v>18</v>
      </c>
      <c r="D4768" s="18" t="s">
        <v>19</v>
      </c>
      <c r="E4768" s="18" t="s">
        <v>20</v>
      </c>
      <c r="F4768" s="18" t="s">
        <v>21</v>
      </c>
    </row>
    <row r="4769" ht="13.5" customHeight="1">
      <c r="A4769" s="21" t="s">
        <v>22</v>
      </c>
      <c r="B4769" s="21" t="s">
        <v>345</v>
      </c>
      <c r="C4769" s="21" t="s">
        <v>51</v>
      </c>
      <c r="D4769" s="187">
        <f>ROUND(1/B4753,2)</f>
        <v>0.4</v>
      </c>
      <c r="E4769" s="21">
        <v>65000.0</v>
      </c>
      <c r="F4769" s="33">
        <f t="shared" ref="F4769:F4770" si="226">ROUND(IFERROR(D4769*E4769,0),0)</f>
        <v>26000</v>
      </c>
    </row>
    <row r="4770" ht="13.5" customHeight="1">
      <c r="A4770" s="21" t="s">
        <v>27</v>
      </c>
      <c r="B4770" s="21" t="s">
        <v>54</v>
      </c>
      <c r="C4770" s="21" t="s">
        <v>51</v>
      </c>
      <c r="D4770" s="187">
        <f>ROUND(1/B4753,2)</f>
        <v>0.4</v>
      </c>
      <c r="E4770" s="21">
        <v>50000.0</v>
      </c>
      <c r="F4770" s="33">
        <f t="shared" si="226"/>
        <v>20000</v>
      </c>
    </row>
    <row r="4771" ht="13.5" customHeight="1">
      <c r="D4771" s="7"/>
      <c r="E4771" s="14" t="s">
        <v>37</v>
      </c>
      <c r="F4771" s="46">
        <f>SUM(F4769:F4770)</f>
        <v>46000</v>
      </c>
    </row>
    <row r="4772" ht="13.5" customHeight="1">
      <c r="D4772" s="7"/>
      <c r="E4772" s="14" t="s">
        <v>59</v>
      </c>
      <c r="F4772" s="46">
        <f>ROUND(F4771*0.5,0)</f>
        <v>23000</v>
      </c>
    </row>
    <row r="4773" ht="13.5" customHeight="1">
      <c r="D4773" s="7"/>
      <c r="E4773" s="14" t="s">
        <v>60</v>
      </c>
      <c r="F4773" s="46">
        <f>F4771+F4772</f>
        <v>69000</v>
      </c>
    </row>
    <row r="4774" ht="13.5" customHeight="1">
      <c r="D4774" s="7"/>
      <c r="E4774" s="9"/>
      <c r="F4774" s="9"/>
    </row>
    <row r="4775" ht="13.5" customHeight="1">
      <c r="A4775" s="14" t="s">
        <v>62</v>
      </c>
      <c r="D4775" s="7"/>
      <c r="E4775" s="9"/>
      <c r="F4775" s="9"/>
    </row>
    <row r="4776" ht="13.5" customHeight="1">
      <c r="A4776" s="18" t="s">
        <v>15</v>
      </c>
      <c r="B4776" s="18" t="s">
        <v>17</v>
      </c>
      <c r="C4776" s="18" t="s">
        <v>18</v>
      </c>
      <c r="D4776" s="18" t="s">
        <v>19</v>
      </c>
      <c r="E4776" s="18" t="s">
        <v>20</v>
      </c>
      <c r="F4776" s="18" t="s">
        <v>21</v>
      </c>
    </row>
    <row r="4777" ht="13.5" customHeight="1">
      <c r="A4777" s="21" t="s">
        <v>22</v>
      </c>
      <c r="B4777" s="21" t="s">
        <v>394</v>
      </c>
      <c r="C4777" s="21" t="s">
        <v>51</v>
      </c>
      <c r="D4777" s="144">
        <f>1/B4753</f>
        <v>0.4</v>
      </c>
      <c r="E4777" s="21">
        <v>45000.0</v>
      </c>
      <c r="F4777" s="33">
        <f>ROUND(IFERROR(D4777*E4777,0),0)</f>
        <v>18000</v>
      </c>
    </row>
    <row r="4778" ht="13.5" customHeight="1">
      <c r="A4778" s="21"/>
      <c r="B4778" s="21"/>
      <c r="C4778" s="21"/>
      <c r="D4778" s="144"/>
      <c r="E4778" s="21"/>
      <c r="F4778" s="33"/>
    </row>
    <row r="4779" ht="13.5" customHeight="1">
      <c r="D4779" s="7"/>
      <c r="E4779" s="14" t="s">
        <v>37</v>
      </c>
      <c r="F4779" s="46">
        <f>SUM(F4777:F4778)</f>
        <v>18000</v>
      </c>
    </row>
    <row r="4780" ht="13.5" customHeight="1">
      <c r="D4780" s="7"/>
      <c r="E4780" s="9"/>
      <c r="F4780" s="9"/>
    </row>
    <row r="4781" ht="13.5" customHeight="1">
      <c r="A4781" s="14" t="s">
        <v>74</v>
      </c>
      <c r="D4781" s="7"/>
      <c r="E4781" s="9"/>
      <c r="F4781" s="9"/>
    </row>
    <row r="4782" ht="13.5" customHeight="1">
      <c r="A4782" s="18"/>
      <c r="B4782" s="18" t="s">
        <v>17</v>
      </c>
      <c r="C4782" s="18" t="s">
        <v>18</v>
      </c>
      <c r="D4782" s="18" t="s">
        <v>19</v>
      </c>
      <c r="E4782" s="18" t="s">
        <v>20</v>
      </c>
      <c r="F4782" s="18" t="s">
        <v>21</v>
      </c>
    </row>
    <row r="4783" ht="13.5" customHeight="1">
      <c r="D4783" s="7"/>
      <c r="E4783" s="14" t="s">
        <v>77</v>
      </c>
      <c r="F4783" s="46">
        <f>F4765+F4773+F4779</f>
        <v>1688200</v>
      </c>
    </row>
    <row r="4784" ht="13.5" customHeight="1">
      <c r="D4784" s="7"/>
      <c r="E4784" s="14" t="s">
        <v>6</v>
      </c>
      <c r="F4784" s="46">
        <f>ROUND(F4783*F4754,0)</f>
        <v>253230</v>
      </c>
    </row>
    <row r="4785" ht="13.5" customHeight="1">
      <c r="D4785" s="7"/>
      <c r="E4785" s="14" t="s">
        <v>8</v>
      </c>
      <c r="F4785" s="46">
        <f>ROUND(F4783*F4755,0)</f>
        <v>337640</v>
      </c>
    </row>
    <row r="4786" ht="13.5" customHeight="1">
      <c r="D4786" s="7"/>
      <c r="E4786" s="14" t="s">
        <v>81</v>
      </c>
      <c r="F4786" s="46">
        <f>F4783+F4784+F4785</f>
        <v>2279070</v>
      </c>
    </row>
    <row r="4787" ht="13.5" customHeight="1">
      <c r="D4787" s="7"/>
      <c r="E4787" s="14" t="s">
        <v>82</v>
      </c>
      <c r="F4787" s="46">
        <f>ROUND(F4786*F4756,0)</f>
        <v>433023</v>
      </c>
    </row>
    <row r="4788" ht="13.5" customHeight="1">
      <c r="D4788" s="14" t="s">
        <v>425</v>
      </c>
      <c r="E4788" s="18" t="s">
        <v>84</v>
      </c>
      <c r="F4788" s="53">
        <f>F4786+F4787</f>
        <v>2712093</v>
      </c>
    </row>
    <row r="4789" ht="13.5" customHeight="1"/>
    <row r="4790" ht="13.5" customHeight="1"/>
    <row r="4791" ht="13.5" customHeight="1"/>
    <row r="4792" ht="13.5" customHeight="1"/>
    <row r="4793" ht="13.5" customHeight="1"/>
    <row r="4794" ht="13.5" customHeight="1"/>
    <row r="4795" ht="13.5" customHeight="1"/>
    <row r="4796" ht="13.5" customHeight="1"/>
    <row r="4797" ht="13.5" customHeight="1">
      <c r="A4797" s="3" t="s">
        <v>1</v>
      </c>
      <c r="B4797" s="5">
        <v>2.5</v>
      </c>
      <c r="C4797" s="3" t="s">
        <v>2</v>
      </c>
      <c r="D4797" s="7"/>
      <c r="E4797" s="3" t="s">
        <v>3</v>
      </c>
      <c r="F4797" s="9"/>
    </row>
    <row r="4798" ht="13.5" customHeight="1">
      <c r="A4798" s="3" t="s">
        <v>4</v>
      </c>
      <c r="B4798" s="5" t="s">
        <v>30</v>
      </c>
      <c r="D4798" s="7"/>
      <c r="E4798" s="3" t="s">
        <v>6</v>
      </c>
      <c r="F4798" s="10">
        <v>0.15</v>
      </c>
    </row>
    <row r="4799" ht="13.5" customHeight="1">
      <c r="D4799" s="7"/>
      <c r="E4799" s="3" t="s">
        <v>8</v>
      </c>
      <c r="F4799" s="10">
        <v>0.2</v>
      </c>
    </row>
    <row r="4800" ht="13.5" customHeight="1">
      <c r="B4800" s="5" t="s">
        <v>667</v>
      </c>
      <c r="D4800" s="7"/>
      <c r="E4800" s="3" t="s">
        <v>10</v>
      </c>
      <c r="F4800" s="10">
        <v>0.19</v>
      </c>
    </row>
    <row r="4801" ht="13.5" customHeight="1">
      <c r="A4801" s="14" t="s">
        <v>11</v>
      </c>
      <c r="D4801" s="7"/>
      <c r="E4801" s="9"/>
      <c r="F4801" s="9"/>
    </row>
    <row r="4802" ht="13.5" customHeight="1">
      <c r="A4802" s="18" t="s">
        <v>15</v>
      </c>
      <c r="B4802" s="18" t="s">
        <v>17</v>
      </c>
      <c r="C4802" s="18" t="s">
        <v>18</v>
      </c>
      <c r="D4802" s="18" t="s">
        <v>19</v>
      </c>
      <c r="E4802" s="18" t="s">
        <v>20</v>
      </c>
      <c r="F4802" s="18" t="s">
        <v>21</v>
      </c>
    </row>
    <row r="4803" ht="13.5" customHeight="1">
      <c r="A4803" s="21" t="s">
        <v>22</v>
      </c>
      <c r="B4803" s="21" t="s">
        <v>668</v>
      </c>
      <c r="C4803" s="21" t="s">
        <v>30</v>
      </c>
      <c r="D4803" s="21">
        <v>1.0</v>
      </c>
      <c r="E4803" s="21">
        <v>900000.0</v>
      </c>
      <c r="F4803" s="33">
        <f t="shared" ref="F4803:F4804" si="227">ROUND(IFERROR(D4803*E4803,0),0)</f>
        <v>900000</v>
      </c>
    </row>
    <row r="4804" ht="13.5" customHeight="1">
      <c r="A4804" s="21" t="s">
        <v>27</v>
      </c>
      <c r="B4804" s="21" t="s">
        <v>658</v>
      </c>
      <c r="C4804" s="21" t="s">
        <v>34</v>
      </c>
      <c r="D4804" s="21">
        <v>1.0</v>
      </c>
      <c r="E4804" s="21">
        <v>1200.0</v>
      </c>
      <c r="F4804" s="33">
        <f t="shared" si="227"/>
        <v>1200</v>
      </c>
    </row>
    <row r="4805" ht="13.5" customHeight="1">
      <c r="A4805" s="21" t="s">
        <v>32</v>
      </c>
      <c r="B4805" s="21"/>
      <c r="C4805" s="21"/>
      <c r="D4805" s="21"/>
      <c r="E4805" s="279"/>
      <c r="F4805" s="33"/>
    </row>
    <row r="4806" ht="13.5" customHeight="1">
      <c r="A4806" s="21" t="s">
        <v>99</v>
      </c>
      <c r="B4806" s="21"/>
      <c r="C4806" s="21"/>
      <c r="D4806" s="21"/>
      <c r="E4806" s="279"/>
      <c r="F4806" s="33"/>
    </row>
    <row r="4807" ht="13.5" customHeight="1">
      <c r="A4807" s="21"/>
      <c r="B4807" s="21"/>
      <c r="C4807" s="21"/>
      <c r="D4807" s="21"/>
      <c r="E4807" s="279"/>
      <c r="F4807" s="33"/>
    </row>
    <row r="4808" ht="13.5" customHeight="1">
      <c r="A4808" s="21"/>
      <c r="B4808" s="21"/>
      <c r="C4808" s="21"/>
      <c r="D4808" s="21"/>
      <c r="E4808" s="279"/>
      <c r="F4808" s="33"/>
    </row>
    <row r="4809" ht="13.5" customHeight="1">
      <c r="D4809" s="7"/>
      <c r="E4809" s="14" t="s">
        <v>37</v>
      </c>
      <c r="F4809" s="46">
        <f>SUM(F4803:F4808)</f>
        <v>901200</v>
      </c>
    </row>
    <row r="4810" ht="13.5" customHeight="1">
      <c r="D4810" s="7"/>
      <c r="E4810" s="9"/>
      <c r="F4810" s="9"/>
    </row>
    <row r="4811" ht="13.5" customHeight="1">
      <c r="A4811" s="14" t="s">
        <v>44</v>
      </c>
      <c r="D4811" s="7"/>
      <c r="E4811" s="9"/>
      <c r="F4811" s="9"/>
    </row>
    <row r="4812" ht="13.5" customHeight="1">
      <c r="A4812" s="18" t="s">
        <v>15</v>
      </c>
      <c r="B4812" s="18" t="s">
        <v>17</v>
      </c>
      <c r="C4812" s="18" t="s">
        <v>18</v>
      </c>
      <c r="D4812" s="18" t="s">
        <v>19</v>
      </c>
      <c r="E4812" s="18" t="s">
        <v>20</v>
      </c>
      <c r="F4812" s="18" t="s">
        <v>21</v>
      </c>
    </row>
    <row r="4813" ht="13.5" customHeight="1">
      <c r="A4813" s="21" t="s">
        <v>22</v>
      </c>
      <c r="B4813" s="21" t="s">
        <v>345</v>
      </c>
      <c r="C4813" s="21" t="s">
        <v>51</v>
      </c>
      <c r="D4813" s="187">
        <f>ROUND(1/B4797,2)</f>
        <v>0.4</v>
      </c>
      <c r="E4813" s="21">
        <v>65000.0</v>
      </c>
      <c r="F4813" s="33">
        <f t="shared" ref="F4813:F4814" si="228">ROUND(IFERROR(D4813*E4813,0),0)</f>
        <v>26000</v>
      </c>
    </row>
    <row r="4814" ht="13.5" customHeight="1">
      <c r="A4814" s="21" t="s">
        <v>27</v>
      </c>
      <c r="B4814" s="21" t="s">
        <v>54</v>
      </c>
      <c r="C4814" s="21" t="s">
        <v>51</v>
      </c>
      <c r="D4814" s="187">
        <f>ROUND(1/B4797,2)</f>
        <v>0.4</v>
      </c>
      <c r="E4814" s="21">
        <v>50000.0</v>
      </c>
      <c r="F4814" s="33">
        <f t="shared" si="228"/>
        <v>20000</v>
      </c>
    </row>
    <row r="4815" ht="13.5" customHeight="1">
      <c r="D4815" s="7"/>
      <c r="E4815" s="14" t="s">
        <v>37</v>
      </c>
      <c r="F4815" s="46">
        <f>SUM(F4813:F4814)</f>
        <v>46000</v>
      </c>
    </row>
    <row r="4816" ht="13.5" customHeight="1">
      <c r="D4816" s="7"/>
      <c r="E4816" s="14" t="s">
        <v>59</v>
      </c>
      <c r="F4816" s="46">
        <f>ROUND(F4815*0.5,0)</f>
        <v>23000</v>
      </c>
    </row>
    <row r="4817" ht="13.5" customHeight="1">
      <c r="D4817" s="7"/>
      <c r="E4817" s="14" t="s">
        <v>60</v>
      </c>
      <c r="F4817" s="46">
        <f>F4815+F4816</f>
        <v>69000</v>
      </c>
    </row>
    <row r="4818" ht="13.5" customHeight="1">
      <c r="D4818" s="7"/>
      <c r="E4818" s="9"/>
      <c r="F4818" s="9"/>
    </row>
    <row r="4819" ht="13.5" customHeight="1">
      <c r="A4819" s="14" t="s">
        <v>62</v>
      </c>
      <c r="D4819" s="7"/>
      <c r="E4819" s="9"/>
      <c r="F4819" s="9"/>
    </row>
    <row r="4820" ht="13.5" customHeight="1">
      <c r="A4820" s="18" t="s">
        <v>15</v>
      </c>
      <c r="B4820" s="18" t="s">
        <v>17</v>
      </c>
      <c r="C4820" s="18" t="s">
        <v>18</v>
      </c>
      <c r="D4820" s="18" t="s">
        <v>19</v>
      </c>
      <c r="E4820" s="18" t="s">
        <v>20</v>
      </c>
      <c r="F4820" s="18" t="s">
        <v>21</v>
      </c>
    </row>
    <row r="4821" ht="13.5" customHeight="1">
      <c r="A4821" s="21" t="s">
        <v>22</v>
      </c>
      <c r="B4821" s="21" t="s">
        <v>394</v>
      </c>
      <c r="C4821" s="21" t="s">
        <v>51</v>
      </c>
      <c r="D4821" s="144">
        <f>ROUND(1/B4797,2)</f>
        <v>0.4</v>
      </c>
      <c r="E4821" s="21">
        <v>45000.0</v>
      </c>
      <c r="F4821" s="33">
        <f>ROUND(IFERROR(D4821*E4821,0),0)</f>
        <v>18000</v>
      </c>
    </row>
    <row r="4822" ht="13.5" customHeight="1">
      <c r="A4822" s="21"/>
      <c r="B4822" s="21"/>
      <c r="C4822" s="21"/>
      <c r="D4822" s="144"/>
      <c r="E4822" s="21"/>
      <c r="F4822" s="33"/>
    </row>
    <row r="4823" ht="13.5" customHeight="1">
      <c r="D4823" s="7"/>
      <c r="E4823" s="14" t="s">
        <v>37</v>
      </c>
      <c r="F4823" s="46">
        <f>SUM(F4821:F4822)</f>
        <v>18000</v>
      </c>
    </row>
    <row r="4824" ht="13.5" customHeight="1">
      <c r="D4824" s="7"/>
      <c r="E4824" s="9"/>
      <c r="F4824" s="9"/>
    </row>
    <row r="4825" ht="13.5" customHeight="1">
      <c r="A4825" s="14" t="s">
        <v>74</v>
      </c>
      <c r="D4825" s="7"/>
      <c r="E4825" s="9"/>
      <c r="F4825" s="9"/>
    </row>
    <row r="4826" ht="13.5" customHeight="1">
      <c r="A4826" s="18"/>
      <c r="B4826" s="18" t="s">
        <v>17</v>
      </c>
      <c r="C4826" s="18" t="s">
        <v>18</v>
      </c>
      <c r="D4826" s="18" t="s">
        <v>19</v>
      </c>
      <c r="E4826" s="18" t="s">
        <v>20</v>
      </c>
      <c r="F4826" s="18" t="s">
        <v>21</v>
      </c>
    </row>
    <row r="4827" ht="13.5" customHeight="1">
      <c r="D4827" s="7"/>
      <c r="E4827" s="14" t="s">
        <v>77</v>
      </c>
      <c r="F4827" s="46">
        <f>F4809+F4817+F4823</f>
        <v>988200</v>
      </c>
    </row>
    <row r="4828" ht="13.5" customHeight="1">
      <c r="D4828" s="7"/>
      <c r="E4828" s="14" t="s">
        <v>6</v>
      </c>
      <c r="F4828" s="46">
        <f>ROUND(F4827*F4798,0)</f>
        <v>148230</v>
      </c>
    </row>
    <row r="4829" ht="13.5" customHeight="1">
      <c r="D4829" s="7"/>
      <c r="E4829" s="14" t="s">
        <v>8</v>
      </c>
      <c r="F4829" s="46">
        <f>ROUND(F4827*F4799,0)</f>
        <v>197640</v>
      </c>
    </row>
    <row r="4830" ht="13.5" customHeight="1">
      <c r="D4830" s="7"/>
      <c r="E4830" s="14" t="s">
        <v>81</v>
      </c>
      <c r="F4830" s="46">
        <f>F4827+F4828+F4829</f>
        <v>1334070</v>
      </c>
    </row>
    <row r="4831" ht="13.5" customHeight="1">
      <c r="D4831" s="7"/>
      <c r="E4831" s="14" t="s">
        <v>82</v>
      </c>
      <c r="F4831" s="46">
        <f>ROUND(F4830*F4800,0)</f>
        <v>253473</v>
      </c>
    </row>
    <row r="4832" ht="13.5" customHeight="1">
      <c r="D4832" s="14" t="s">
        <v>425</v>
      </c>
      <c r="E4832" s="18" t="s">
        <v>84</v>
      </c>
      <c r="F4832" s="53">
        <f>F4830+F4831</f>
        <v>1587543</v>
      </c>
    </row>
    <row r="4833" ht="13.5" customHeight="1"/>
    <row r="4834" ht="13.5" customHeight="1"/>
    <row r="4835" ht="13.5" customHeight="1"/>
    <row r="4836" ht="13.5" customHeight="1"/>
    <row r="4837" ht="13.5" customHeight="1"/>
    <row r="4838" ht="13.5" customHeight="1"/>
    <row r="4839" ht="13.5" customHeight="1"/>
    <row r="4840" ht="13.5" customHeight="1"/>
    <row r="4841" ht="13.5" customHeight="1">
      <c r="A4841" s="3" t="s">
        <v>1</v>
      </c>
      <c r="B4841" s="5">
        <v>1.5</v>
      </c>
      <c r="C4841" s="3" t="s">
        <v>2</v>
      </c>
      <c r="D4841" s="7"/>
      <c r="E4841" s="3" t="s">
        <v>3</v>
      </c>
      <c r="F4841" s="9"/>
    </row>
    <row r="4842" ht="13.5" customHeight="1">
      <c r="A4842" s="3" t="s">
        <v>4</v>
      </c>
      <c r="B4842" s="5" t="s">
        <v>30</v>
      </c>
      <c r="D4842" s="7"/>
      <c r="E4842" s="3" t="s">
        <v>6</v>
      </c>
      <c r="F4842" s="10">
        <v>0.15</v>
      </c>
    </row>
    <row r="4843" ht="13.5" customHeight="1">
      <c r="D4843" s="7"/>
      <c r="E4843" s="3" t="s">
        <v>8</v>
      </c>
      <c r="F4843" s="10">
        <v>0.2</v>
      </c>
    </row>
    <row r="4844" ht="13.5" customHeight="1">
      <c r="B4844" s="5" t="s">
        <v>669</v>
      </c>
      <c r="D4844" s="7"/>
      <c r="E4844" s="3" t="s">
        <v>10</v>
      </c>
      <c r="F4844" s="10">
        <v>0.19</v>
      </c>
    </row>
    <row r="4845" ht="13.5" customHeight="1">
      <c r="A4845" s="14" t="s">
        <v>11</v>
      </c>
      <c r="D4845" s="7"/>
      <c r="E4845" s="9"/>
      <c r="F4845" s="9"/>
    </row>
    <row r="4846" ht="13.5" customHeight="1">
      <c r="A4846" s="18" t="s">
        <v>15</v>
      </c>
      <c r="B4846" s="18" t="s">
        <v>17</v>
      </c>
      <c r="C4846" s="18" t="s">
        <v>18</v>
      </c>
      <c r="D4846" s="18" t="s">
        <v>19</v>
      </c>
      <c r="E4846" s="18" t="s">
        <v>20</v>
      </c>
      <c r="F4846" s="18" t="s">
        <v>21</v>
      </c>
    </row>
    <row r="4847" ht="13.5" customHeight="1">
      <c r="A4847" s="21" t="s">
        <v>22</v>
      </c>
      <c r="B4847" s="21" t="s">
        <v>670</v>
      </c>
      <c r="C4847" s="21" t="s">
        <v>30</v>
      </c>
      <c r="D4847" s="21">
        <v>1.0</v>
      </c>
      <c r="E4847" s="21">
        <v>2400000.0</v>
      </c>
      <c r="F4847" s="33">
        <f t="shared" ref="F4847:F4848" si="229">ROUND(IFERROR(D4847*E4847,0),0)</f>
        <v>2400000</v>
      </c>
    </row>
    <row r="4848" ht="13.5" customHeight="1">
      <c r="A4848" s="21" t="s">
        <v>27</v>
      </c>
      <c r="B4848" s="21" t="s">
        <v>658</v>
      </c>
      <c r="C4848" s="21" t="s">
        <v>34</v>
      </c>
      <c r="D4848" s="21">
        <v>1.0</v>
      </c>
      <c r="E4848" s="21">
        <v>1200.0</v>
      </c>
      <c r="F4848" s="33">
        <f t="shared" si="229"/>
        <v>1200</v>
      </c>
    </row>
    <row r="4849" ht="13.5" customHeight="1">
      <c r="A4849" s="21" t="s">
        <v>32</v>
      </c>
      <c r="B4849" s="21"/>
      <c r="C4849" s="21"/>
      <c r="D4849" s="21"/>
      <c r="E4849" s="279"/>
      <c r="F4849" s="33"/>
    </row>
    <row r="4850" ht="13.5" customHeight="1">
      <c r="A4850" s="21" t="s">
        <v>99</v>
      </c>
      <c r="B4850" s="21"/>
      <c r="C4850" s="21"/>
      <c r="D4850" s="21"/>
      <c r="E4850" s="279"/>
      <c r="F4850" s="33"/>
    </row>
    <row r="4851" ht="13.5" customHeight="1">
      <c r="A4851" s="21"/>
      <c r="B4851" s="21"/>
      <c r="C4851" s="21"/>
      <c r="D4851" s="21"/>
      <c r="E4851" s="279"/>
      <c r="F4851" s="33"/>
    </row>
    <row r="4852" ht="13.5" customHeight="1">
      <c r="A4852" s="21"/>
      <c r="B4852" s="21"/>
      <c r="C4852" s="21"/>
      <c r="D4852" s="21"/>
      <c r="E4852" s="279"/>
      <c r="F4852" s="33"/>
    </row>
    <row r="4853" ht="13.5" customHeight="1">
      <c r="D4853" s="7"/>
      <c r="E4853" s="14" t="s">
        <v>37</v>
      </c>
      <c r="F4853" s="46">
        <f>SUM(F4847:F4852)</f>
        <v>2401200</v>
      </c>
    </row>
    <row r="4854" ht="13.5" customHeight="1">
      <c r="D4854" s="7"/>
      <c r="E4854" s="9"/>
      <c r="F4854" s="9"/>
    </row>
    <row r="4855" ht="13.5" customHeight="1">
      <c r="A4855" s="14" t="s">
        <v>44</v>
      </c>
      <c r="D4855" s="7"/>
      <c r="E4855" s="9"/>
      <c r="F4855" s="9"/>
    </row>
    <row r="4856" ht="13.5" customHeight="1">
      <c r="A4856" s="18" t="s">
        <v>15</v>
      </c>
      <c r="B4856" s="18" t="s">
        <v>17</v>
      </c>
      <c r="C4856" s="18" t="s">
        <v>18</v>
      </c>
      <c r="D4856" s="18" t="s">
        <v>19</v>
      </c>
      <c r="E4856" s="18" t="s">
        <v>20</v>
      </c>
      <c r="F4856" s="18" t="s">
        <v>21</v>
      </c>
    </row>
    <row r="4857" ht="13.5" customHeight="1">
      <c r="A4857" s="21" t="s">
        <v>22</v>
      </c>
      <c r="B4857" s="21" t="s">
        <v>345</v>
      </c>
      <c r="C4857" s="21" t="s">
        <v>51</v>
      </c>
      <c r="D4857" s="187">
        <f>ROUND(1/B4841,2)</f>
        <v>0.67</v>
      </c>
      <c r="E4857" s="21">
        <v>65000.0</v>
      </c>
      <c r="F4857" s="33">
        <f t="shared" ref="F4857:F4858" si="230">ROUND(IFERROR(D4857*E4857,0),0)</f>
        <v>43550</v>
      </c>
    </row>
    <row r="4858" ht="13.5" customHeight="1">
      <c r="A4858" s="21" t="s">
        <v>27</v>
      </c>
      <c r="B4858" s="21" t="s">
        <v>54</v>
      </c>
      <c r="C4858" s="21" t="s">
        <v>51</v>
      </c>
      <c r="D4858" s="187">
        <f>ROUND(1/B4841,2)</f>
        <v>0.67</v>
      </c>
      <c r="E4858" s="21">
        <v>50000.0</v>
      </c>
      <c r="F4858" s="33">
        <f t="shared" si="230"/>
        <v>33500</v>
      </c>
    </row>
    <row r="4859" ht="13.5" customHeight="1">
      <c r="D4859" s="7"/>
      <c r="E4859" s="14" t="s">
        <v>37</v>
      </c>
      <c r="F4859" s="46">
        <f>SUM(F4857:F4858)</f>
        <v>77050</v>
      </c>
    </row>
    <row r="4860" ht="13.5" customHeight="1">
      <c r="D4860" s="7"/>
      <c r="E4860" s="14" t="s">
        <v>59</v>
      </c>
      <c r="F4860" s="46">
        <f>ROUND(F4859*0.5,0)</f>
        <v>38525</v>
      </c>
    </row>
    <row r="4861" ht="13.5" customHeight="1">
      <c r="D4861" s="7"/>
      <c r="E4861" s="14" t="s">
        <v>60</v>
      </c>
      <c r="F4861" s="46">
        <f>F4859+F4860</f>
        <v>115575</v>
      </c>
    </row>
    <row r="4862" ht="13.5" customHeight="1">
      <c r="D4862" s="7"/>
      <c r="E4862" s="9"/>
      <c r="F4862" s="9"/>
    </row>
    <row r="4863" ht="13.5" customHeight="1">
      <c r="A4863" s="14" t="s">
        <v>62</v>
      </c>
      <c r="D4863" s="7"/>
      <c r="E4863" s="9"/>
      <c r="F4863" s="9"/>
    </row>
    <row r="4864" ht="13.5" customHeight="1">
      <c r="A4864" s="18" t="s">
        <v>15</v>
      </c>
      <c r="B4864" s="18" t="s">
        <v>17</v>
      </c>
      <c r="C4864" s="18" t="s">
        <v>18</v>
      </c>
      <c r="D4864" s="18" t="s">
        <v>19</v>
      </c>
      <c r="E4864" s="18" t="s">
        <v>20</v>
      </c>
      <c r="F4864" s="18" t="s">
        <v>21</v>
      </c>
    </row>
    <row r="4865" ht="13.5" customHeight="1">
      <c r="A4865" s="21" t="s">
        <v>22</v>
      </c>
      <c r="B4865" s="21" t="s">
        <v>394</v>
      </c>
      <c r="C4865" s="21" t="s">
        <v>51</v>
      </c>
      <c r="D4865" s="144">
        <f>ROUND(1/B4841,2)</f>
        <v>0.67</v>
      </c>
      <c r="E4865" s="21">
        <v>45000.0</v>
      </c>
      <c r="F4865" s="33">
        <f>ROUND(IFERROR(D4865*E4865,0),0)</f>
        <v>30150</v>
      </c>
    </row>
    <row r="4866" ht="13.5" customHeight="1">
      <c r="A4866" s="21"/>
      <c r="B4866" s="21"/>
      <c r="C4866" s="21"/>
      <c r="D4866" s="144"/>
      <c r="E4866" s="21"/>
      <c r="F4866" s="33"/>
    </row>
    <row r="4867" ht="13.5" customHeight="1">
      <c r="D4867" s="7"/>
      <c r="E4867" s="14" t="s">
        <v>37</v>
      </c>
      <c r="F4867" s="46">
        <f>SUM(F4865:F4866)</f>
        <v>30150</v>
      </c>
    </row>
    <row r="4868" ht="13.5" customHeight="1">
      <c r="D4868" s="7"/>
      <c r="E4868" s="9"/>
      <c r="F4868" s="9"/>
    </row>
    <row r="4869" ht="13.5" customHeight="1">
      <c r="A4869" s="14" t="s">
        <v>74</v>
      </c>
      <c r="D4869" s="7"/>
      <c r="E4869" s="9"/>
      <c r="F4869" s="9"/>
    </row>
    <row r="4870" ht="13.5" customHeight="1">
      <c r="A4870" s="18"/>
      <c r="B4870" s="18" t="s">
        <v>17</v>
      </c>
      <c r="C4870" s="18" t="s">
        <v>18</v>
      </c>
      <c r="D4870" s="18" t="s">
        <v>19</v>
      </c>
      <c r="E4870" s="18" t="s">
        <v>20</v>
      </c>
      <c r="F4870" s="18" t="s">
        <v>21</v>
      </c>
    </row>
    <row r="4871" ht="13.5" customHeight="1">
      <c r="D4871" s="7"/>
      <c r="E4871" s="14" t="s">
        <v>77</v>
      </c>
      <c r="F4871" s="46">
        <f>F4853+F4861+F4867</f>
        <v>2546925</v>
      </c>
    </row>
    <row r="4872" ht="13.5" customHeight="1">
      <c r="D4872" s="7"/>
      <c r="E4872" s="14" t="s">
        <v>6</v>
      </c>
      <c r="F4872" s="46">
        <f>ROUND(F4871*F4842,0)</f>
        <v>382039</v>
      </c>
    </row>
    <row r="4873" ht="13.5" customHeight="1">
      <c r="D4873" s="7"/>
      <c r="E4873" s="14" t="s">
        <v>8</v>
      </c>
      <c r="F4873" s="46">
        <f>ROUND(F4871*F4843,0)</f>
        <v>509385</v>
      </c>
    </row>
    <row r="4874" ht="13.5" customHeight="1">
      <c r="D4874" s="7"/>
      <c r="E4874" s="14" t="s">
        <v>81</v>
      </c>
      <c r="F4874" s="46">
        <f>F4871+F4872+F4873</f>
        <v>3438349</v>
      </c>
    </row>
    <row r="4875" ht="13.5" customHeight="1">
      <c r="D4875" s="7"/>
      <c r="E4875" s="14" t="s">
        <v>82</v>
      </c>
      <c r="F4875" s="46">
        <f>ROUND(F4874*F4844,0)</f>
        <v>653286</v>
      </c>
    </row>
    <row r="4876" ht="13.5" customHeight="1">
      <c r="D4876" s="14" t="s">
        <v>425</v>
      </c>
      <c r="E4876" s="18" t="s">
        <v>84</v>
      </c>
      <c r="F4876" s="53">
        <f>F4874+F4875</f>
        <v>4091635</v>
      </c>
    </row>
    <row r="4877" ht="13.5" customHeight="1"/>
    <row r="4878" ht="13.5" customHeight="1"/>
    <row r="4879" ht="13.5" customHeight="1"/>
    <row r="4880" ht="13.5" customHeight="1"/>
    <row r="4881" ht="13.5" customHeight="1"/>
    <row r="4882" ht="13.5" customHeight="1"/>
    <row r="4883" ht="13.5" customHeight="1"/>
    <row r="4884" ht="13.5" customHeight="1"/>
    <row r="4885" ht="13.5" customHeight="1">
      <c r="A4885" s="3" t="s">
        <v>1</v>
      </c>
      <c r="B4885" s="5">
        <v>1.5</v>
      </c>
      <c r="C4885" s="3" t="s">
        <v>2</v>
      </c>
      <c r="D4885" s="7"/>
      <c r="E4885" s="3" t="s">
        <v>3</v>
      </c>
      <c r="F4885" s="9"/>
    </row>
    <row r="4886" ht="13.5" customHeight="1">
      <c r="A4886" s="3" t="s">
        <v>4</v>
      </c>
      <c r="B4886" s="5" t="s">
        <v>30</v>
      </c>
      <c r="D4886" s="7"/>
      <c r="E4886" s="3" t="s">
        <v>6</v>
      </c>
      <c r="F4886" s="10">
        <v>0.15</v>
      </c>
    </row>
    <row r="4887" ht="13.5" customHeight="1">
      <c r="D4887" s="7"/>
      <c r="E4887" s="3" t="s">
        <v>8</v>
      </c>
      <c r="F4887" s="10">
        <v>0.2</v>
      </c>
    </row>
    <row r="4888" ht="13.5" customHeight="1">
      <c r="B4888" s="5" t="s">
        <v>671</v>
      </c>
      <c r="D4888" s="7"/>
      <c r="E4888" s="3" t="s">
        <v>10</v>
      </c>
      <c r="F4888" s="10">
        <v>0.19</v>
      </c>
    </row>
    <row r="4889" ht="13.5" customHeight="1">
      <c r="A4889" s="14" t="s">
        <v>11</v>
      </c>
      <c r="D4889" s="7"/>
      <c r="E4889" s="9"/>
      <c r="F4889" s="9"/>
    </row>
    <row r="4890" ht="13.5" customHeight="1">
      <c r="A4890" s="18" t="s">
        <v>15</v>
      </c>
      <c r="B4890" s="18" t="s">
        <v>17</v>
      </c>
      <c r="C4890" s="18" t="s">
        <v>18</v>
      </c>
      <c r="D4890" s="18" t="s">
        <v>19</v>
      </c>
      <c r="E4890" s="18" t="s">
        <v>20</v>
      </c>
      <c r="F4890" s="18" t="s">
        <v>21</v>
      </c>
    </row>
    <row r="4891" ht="13.5" customHeight="1">
      <c r="A4891" s="21" t="s">
        <v>22</v>
      </c>
      <c r="B4891" s="21" t="s">
        <v>672</v>
      </c>
      <c r="C4891" s="21" t="s">
        <v>30</v>
      </c>
      <c r="D4891" s="21">
        <v>1.0</v>
      </c>
      <c r="E4891" s="21">
        <v>1800000.0</v>
      </c>
      <c r="F4891" s="33">
        <f t="shared" ref="F4891:F4892" si="231">ROUND(IFERROR(D4891*E4891,0),0)</f>
        <v>1800000</v>
      </c>
    </row>
    <row r="4892" ht="13.5" customHeight="1">
      <c r="A4892" s="21" t="s">
        <v>27</v>
      </c>
      <c r="B4892" s="21" t="s">
        <v>658</v>
      </c>
      <c r="C4892" s="21" t="s">
        <v>34</v>
      </c>
      <c r="D4892" s="21">
        <v>1.0</v>
      </c>
      <c r="E4892" s="21">
        <v>1200.0</v>
      </c>
      <c r="F4892" s="33">
        <f t="shared" si="231"/>
        <v>1200</v>
      </c>
    </row>
    <row r="4893" ht="13.5" customHeight="1">
      <c r="A4893" s="21" t="s">
        <v>32</v>
      </c>
      <c r="B4893" s="21"/>
      <c r="C4893" s="21"/>
      <c r="D4893" s="21"/>
      <c r="E4893" s="279"/>
      <c r="F4893" s="33"/>
    </row>
    <row r="4894" ht="13.5" customHeight="1">
      <c r="A4894" s="21" t="s">
        <v>99</v>
      </c>
      <c r="B4894" s="21"/>
      <c r="C4894" s="21"/>
      <c r="D4894" s="21"/>
      <c r="E4894" s="279"/>
      <c r="F4894" s="33"/>
    </row>
    <row r="4895" ht="13.5" customHeight="1">
      <c r="A4895" s="21"/>
      <c r="B4895" s="21"/>
      <c r="C4895" s="21"/>
      <c r="D4895" s="21"/>
      <c r="E4895" s="279"/>
      <c r="F4895" s="33"/>
    </row>
    <row r="4896" ht="13.5" customHeight="1">
      <c r="A4896" s="21"/>
      <c r="B4896" s="21"/>
      <c r="C4896" s="21"/>
      <c r="D4896" s="21"/>
      <c r="E4896" s="279"/>
      <c r="F4896" s="33"/>
    </row>
    <row r="4897" ht="13.5" customHeight="1">
      <c r="D4897" s="7"/>
      <c r="E4897" s="14" t="s">
        <v>37</v>
      </c>
      <c r="F4897" s="46">
        <f>SUM(F4891:F4896)</f>
        <v>1801200</v>
      </c>
    </row>
    <row r="4898" ht="13.5" customHeight="1">
      <c r="D4898" s="7"/>
      <c r="E4898" s="9"/>
      <c r="F4898" s="9"/>
    </row>
    <row r="4899" ht="13.5" customHeight="1">
      <c r="A4899" s="14" t="s">
        <v>44</v>
      </c>
      <c r="D4899" s="7"/>
      <c r="E4899" s="9"/>
      <c r="F4899" s="9"/>
    </row>
    <row r="4900" ht="13.5" customHeight="1">
      <c r="A4900" s="18" t="s">
        <v>15</v>
      </c>
      <c r="B4900" s="18" t="s">
        <v>17</v>
      </c>
      <c r="C4900" s="18" t="s">
        <v>18</v>
      </c>
      <c r="D4900" s="18" t="s">
        <v>19</v>
      </c>
      <c r="E4900" s="18" t="s">
        <v>20</v>
      </c>
      <c r="F4900" s="18" t="s">
        <v>21</v>
      </c>
    </row>
    <row r="4901" ht="13.5" customHeight="1">
      <c r="A4901" s="21" t="s">
        <v>22</v>
      </c>
      <c r="B4901" s="21" t="s">
        <v>345</v>
      </c>
      <c r="C4901" s="21" t="s">
        <v>51</v>
      </c>
      <c r="D4901" s="187">
        <f>ROUND(1/B4885,2)</f>
        <v>0.67</v>
      </c>
      <c r="E4901" s="21">
        <v>65000.0</v>
      </c>
      <c r="F4901" s="33">
        <f t="shared" ref="F4901:F4902" si="232">ROUND(IFERROR(D4901*E4901,0),0)</f>
        <v>43550</v>
      </c>
    </row>
    <row r="4902" ht="13.5" customHeight="1">
      <c r="A4902" s="21" t="s">
        <v>27</v>
      </c>
      <c r="B4902" s="21" t="s">
        <v>54</v>
      </c>
      <c r="C4902" s="21" t="s">
        <v>51</v>
      </c>
      <c r="D4902" s="187">
        <f>ROUND(1/B4885,2)</f>
        <v>0.67</v>
      </c>
      <c r="E4902" s="21">
        <v>50000.0</v>
      </c>
      <c r="F4902" s="33">
        <f t="shared" si="232"/>
        <v>33500</v>
      </c>
    </row>
    <row r="4903" ht="13.5" customHeight="1">
      <c r="D4903" s="7"/>
      <c r="E4903" s="14" t="s">
        <v>37</v>
      </c>
      <c r="F4903" s="46">
        <f>SUM(F4901:F4902)</f>
        <v>77050</v>
      </c>
    </row>
    <row r="4904" ht="13.5" customHeight="1">
      <c r="D4904" s="7"/>
      <c r="E4904" s="14" t="s">
        <v>59</v>
      </c>
      <c r="F4904" s="46">
        <f>F4903*0.5</f>
        <v>38525</v>
      </c>
    </row>
    <row r="4905" ht="13.5" customHeight="1">
      <c r="D4905" s="7"/>
      <c r="E4905" s="14" t="s">
        <v>60</v>
      </c>
      <c r="F4905" s="46">
        <f>F4903+F4904</f>
        <v>115575</v>
      </c>
    </row>
    <row r="4906" ht="13.5" customHeight="1">
      <c r="D4906" s="7"/>
      <c r="E4906" s="9"/>
      <c r="F4906" s="9"/>
    </row>
    <row r="4907" ht="13.5" customHeight="1">
      <c r="A4907" s="14" t="s">
        <v>62</v>
      </c>
      <c r="D4907" s="7"/>
      <c r="E4907" s="9"/>
      <c r="F4907" s="9"/>
    </row>
    <row r="4908" ht="13.5" customHeight="1">
      <c r="A4908" s="18" t="s">
        <v>15</v>
      </c>
      <c r="B4908" s="18" t="s">
        <v>17</v>
      </c>
      <c r="C4908" s="18" t="s">
        <v>18</v>
      </c>
      <c r="D4908" s="18" t="s">
        <v>19</v>
      </c>
      <c r="E4908" s="18" t="s">
        <v>20</v>
      </c>
      <c r="F4908" s="18" t="s">
        <v>21</v>
      </c>
    </row>
    <row r="4909" ht="13.5" customHeight="1">
      <c r="A4909" s="21" t="s">
        <v>22</v>
      </c>
      <c r="B4909" s="21" t="s">
        <v>394</v>
      </c>
      <c r="C4909" s="21" t="s">
        <v>51</v>
      </c>
      <c r="D4909" s="144">
        <f>1/B4885</f>
        <v>0.6666666667</v>
      </c>
      <c r="E4909" s="21">
        <v>45000.0</v>
      </c>
      <c r="F4909" s="33">
        <f>ROUND(IFERROR(D4909*E4909,0),0)</f>
        <v>30000</v>
      </c>
    </row>
    <row r="4910" ht="13.5" customHeight="1">
      <c r="A4910" s="21"/>
      <c r="B4910" s="21"/>
      <c r="C4910" s="21"/>
      <c r="D4910" s="144"/>
      <c r="E4910" s="21"/>
      <c r="F4910" s="33"/>
    </row>
    <row r="4911" ht="13.5" customHeight="1">
      <c r="D4911" s="7"/>
      <c r="E4911" s="14" t="s">
        <v>37</v>
      </c>
      <c r="F4911" s="46">
        <f>SUM(F4909:F4910)</f>
        <v>30000</v>
      </c>
    </row>
    <row r="4912" ht="13.5" customHeight="1">
      <c r="D4912" s="7"/>
      <c r="E4912" s="9"/>
      <c r="F4912" s="48"/>
    </row>
    <row r="4913" ht="13.5" customHeight="1">
      <c r="A4913" s="14" t="s">
        <v>74</v>
      </c>
      <c r="D4913" s="7"/>
      <c r="E4913" s="9"/>
      <c r="F4913" s="9"/>
    </row>
    <row r="4914" ht="13.5" customHeight="1">
      <c r="A4914" s="18"/>
      <c r="B4914" s="18" t="s">
        <v>17</v>
      </c>
      <c r="C4914" s="18" t="s">
        <v>18</v>
      </c>
      <c r="D4914" s="18" t="s">
        <v>19</v>
      </c>
      <c r="E4914" s="18" t="s">
        <v>20</v>
      </c>
      <c r="F4914" s="18" t="s">
        <v>21</v>
      </c>
    </row>
    <row r="4915" ht="13.5" customHeight="1">
      <c r="D4915" s="7"/>
      <c r="E4915" s="14" t="s">
        <v>77</v>
      </c>
      <c r="F4915" s="46">
        <f>F4897+F4905+F4911</f>
        <v>1946775</v>
      </c>
    </row>
    <row r="4916" ht="13.5" customHeight="1">
      <c r="D4916" s="7"/>
      <c r="E4916" s="14" t="s">
        <v>6</v>
      </c>
      <c r="F4916" s="46">
        <f>ROUND(F4915*F4886,0)</f>
        <v>292016</v>
      </c>
    </row>
    <row r="4917" ht="13.5" customHeight="1">
      <c r="D4917" s="7"/>
      <c r="E4917" s="14" t="s">
        <v>8</v>
      </c>
      <c r="F4917" s="46">
        <f>ROUND(F4915*F4887,0)</f>
        <v>389355</v>
      </c>
    </row>
    <row r="4918" ht="13.5" customHeight="1">
      <c r="D4918" s="7"/>
      <c r="E4918" s="14" t="s">
        <v>81</v>
      </c>
      <c r="F4918" s="46">
        <f>F4915+F4916+F4917</f>
        <v>2628146</v>
      </c>
    </row>
    <row r="4919" ht="13.5" customHeight="1">
      <c r="D4919" s="7"/>
      <c r="E4919" s="14" t="s">
        <v>82</v>
      </c>
      <c r="F4919" s="46">
        <f>ROUND(F4918*F4888,0)</f>
        <v>499348</v>
      </c>
    </row>
    <row r="4920" ht="13.5" customHeight="1">
      <c r="D4920" s="14" t="s">
        <v>425</v>
      </c>
      <c r="E4920" s="18" t="s">
        <v>84</v>
      </c>
      <c r="F4920" s="53">
        <f>F4918+F4919</f>
        <v>3127494</v>
      </c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38.25"/>
    <col customWidth="1" min="3" max="3" width="7.75"/>
    <col customWidth="1" min="4" max="4" width="10.25"/>
    <col customWidth="1" min="5" max="5" width="16.13"/>
    <col customWidth="1" min="6" max="6" width="14.25"/>
    <col customWidth="1" min="7" max="26" width="10.63"/>
  </cols>
  <sheetData>
    <row r="1" ht="13.5" customHeight="1">
      <c r="A1" s="15" t="s">
        <v>12</v>
      </c>
    </row>
    <row r="2" ht="13.5" customHeight="1">
      <c r="A2" s="15"/>
      <c r="B2" s="15"/>
      <c r="C2" s="15"/>
      <c r="D2" s="15"/>
      <c r="E2" s="15"/>
      <c r="F2" s="15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3.5" customHeight="1">
      <c r="A3" s="25" t="s">
        <v>24</v>
      </c>
    </row>
    <row r="4" ht="13.5" customHeight="1">
      <c r="A4" s="27"/>
      <c r="B4" s="27"/>
      <c r="C4" s="27"/>
      <c r="D4" s="27"/>
      <c r="E4" s="27"/>
      <c r="F4" s="28"/>
    </row>
    <row r="5" ht="57.0" customHeight="1">
      <c r="A5" s="31" t="s">
        <v>26</v>
      </c>
      <c r="B5" s="34"/>
      <c r="C5" s="34"/>
      <c r="D5" s="34"/>
      <c r="E5" s="34"/>
      <c r="F5" s="36"/>
    </row>
    <row r="6" ht="15.0" customHeight="1">
      <c r="A6" s="39" t="s">
        <v>31</v>
      </c>
      <c r="B6" s="34"/>
      <c r="C6" s="34"/>
      <c r="D6" s="34"/>
      <c r="E6" s="34"/>
      <c r="F6" s="36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3.5" customHeight="1">
      <c r="A7" s="39" t="s">
        <v>38</v>
      </c>
      <c r="B7" s="34"/>
      <c r="C7" s="34"/>
      <c r="D7" s="34"/>
      <c r="E7" s="34"/>
      <c r="F7" s="36"/>
    </row>
    <row r="8" ht="13.5" customHeight="1">
      <c r="A8" s="27"/>
      <c r="B8" s="27"/>
      <c r="C8" s="27"/>
      <c r="D8" s="27"/>
      <c r="E8" s="27"/>
      <c r="F8" s="27"/>
    </row>
    <row r="9" ht="13.5" customHeight="1">
      <c r="A9" s="50" t="s">
        <v>46</v>
      </c>
      <c r="B9" s="51" t="str">
        <f>+P.U!B224</f>
        <v> Cubierta PV4</v>
      </c>
      <c r="C9" s="54" t="s">
        <v>47</v>
      </c>
      <c r="D9" s="57" t="s">
        <v>49</v>
      </c>
      <c r="E9" s="58"/>
      <c r="F9" s="60" t="s">
        <v>52</v>
      </c>
    </row>
    <row r="10" ht="13.5" customHeight="1">
      <c r="A10" s="62"/>
      <c r="B10" s="64"/>
      <c r="C10" s="67" t="str">
        <f>+P.U!A224</f>
        <v>2.1.5</v>
      </c>
      <c r="D10" s="68" t="str">
        <f>+P.U!B222</f>
        <v>m²</v>
      </c>
      <c r="E10" s="69"/>
      <c r="F10" s="70" t="s">
        <v>56</v>
      </c>
    </row>
    <row r="11" ht="13.5" customHeight="1">
      <c r="A11" s="71" t="s">
        <v>58</v>
      </c>
      <c r="B11" s="73"/>
      <c r="C11" s="73"/>
      <c r="D11" s="75"/>
      <c r="E11" s="70"/>
      <c r="F11" s="76">
        <f>+P.U!F248</f>
        <v>18515</v>
      </c>
    </row>
    <row r="12" ht="13.5" customHeight="1">
      <c r="A12" s="78"/>
      <c r="B12" s="78"/>
      <c r="C12" s="78"/>
      <c r="D12" s="78"/>
      <c r="E12" s="27"/>
      <c r="F12" s="81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3.5" customHeight="1">
      <c r="A13" s="86" t="s">
        <v>66</v>
      </c>
      <c r="B13" s="27"/>
      <c r="C13" s="27"/>
      <c r="D13" s="27"/>
      <c r="E13" s="27"/>
      <c r="F13" s="27"/>
    </row>
    <row r="14" ht="13.5" customHeight="1">
      <c r="A14" s="88" t="s">
        <v>67</v>
      </c>
      <c r="B14" s="60" t="s">
        <v>68</v>
      </c>
      <c r="C14" s="60" t="s">
        <v>49</v>
      </c>
      <c r="D14" s="60" t="s">
        <v>70</v>
      </c>
      <c r="E14" s="60" t="s">
        <v>52</v>
      </c>
      <c r="F14" s="60" t="s">
        <v>71</v>
      </c>
    </row>
    <row r="15" ht="13.5" customHeight="1">
      <c r="A15" s="93"/>
      <c r="B15" s="70"/>
      <c r="C15" s="70"/>
      <c r="D15" s="70"/>
      <c r="E15" s="70" t="s">
        <v>56</v>
      </c>
      <c r="F15" s="70" t="s">
        <v>37</v>
      </c>
    </row>
    <row r="16" ht="13.5" customHeight="1">
      <c r="A16" s="96" t="str">
        <f>+P.U!A227</f>
        <v>1</v>
      </c>
      <c r="B16" s="101" t="str">
        <f>+P.U!B227</f>
        <v>Plancha PV4 0,5 mm c/ anticondensante</v>
      </c>
      <c r="C16" s="102" t="str">
        <f>+P.U!C227</f>
        <v>m²</v>
      </c>
      <c r="D16" s="102">
        <f>+P.U!D227</f>
        <v>1.05</v>
      </c>
      <c r="E16" s="103">
        <f>+P.U!E227</f>
        <v>10250</v>
      </c>
      <c r="F16" s="109">
        <f>+P.U!F227</f>
        <v>10763</v>
      </c>
    </row>
    <row r="17" ht="13.5" customHeight="1">
      <c r="A17" s="96" t="str">
        <f>+P.U!A228</f>
        <v>2</v>
      </c>
      <c r="B17" s="101" t="str">
        <f>+P.U!B228</f>
        <v>Tornillo c/ arandela neopreno</v>
      </c>
      <c r="C17" s="102" t="str">
        <f>+P.U!C228</f>
        <v>un</v>
      </c>
      <c r="D17" s="102">
        <f>+P.U!D228</f>
        <v>8</v>
      </c>
      <c r="E17" s="103">
        <f>+P.U!E228</f>
        <v>80</v>
      </c>
      <c r="F17" s="109">
        <f>+P.U!F228</f>
        <v>640</v>
      </c>
    </row>
    <row r="18" ht="13.5" customHeight="1">
      <c r="A18" s="96" t="str">
        <f>+P.U!A229</f>
        <v>3</v>
      </c>
      <c r="B18" s="101" t="str">
        <f>+P.U!B229</f>
        <v>Sellante PU remates</v>
      </c>
      <c r="C18" s="102" t="str">
        <f>+P.U!C229</f>
        <v>cart</v>
      </c>
      <c r="D18" s="102">
        <f>+P.U!D229</f>
        <v>0.02</v>
      </c>
      <c r="E18" s="103">
        <f>+P.U!E229</f>
        <v>4832</v>
      </c>
      <c r="F18" s="109">
        <f>+P.U!F229</f>
        <v>97</v>
      </c>
    </row>
    <row r="19" ht="13.5" customHeight="1">
      <c r="A19" s="96"/>
      <c r="B19" s="101"/>
      <c r="C19" s="102"/>
      <c r="D19" s="102"/>
      <c r="E19" s="103"/>
      <c r="F19" s="109"/>
    </row>
    <row r="20" ht="13.5" customHeight="1">
      <c r="A20" s="96"/>
      <c r="B20" s="101"/>
      <c r="C20" s="102"/>
      <c r="D20" s="102"/>
      <c r="E20" s="103"/>
      <c r="F20" s="109"/>
    </row>
    <row r="21" ht="13.5" customHeight="1">
      <c r="A21" s="120"/>
      <c r="B21" s="120"/>
      <c r="C21" s="121"/>
      <c r="D21" s="121"/>
      <c r="E21" s="122" t="s">
        <v>37</v>
      </c>
      <c r="F21" s="123">
        <f>+P.U!F230</f>
        <v>11500</v>
      </c>
    </row>
    <row r="22" ht="13.5" customHeight="1">
      <c r="A22" s="124"/>
      <c r="B22" s="124"/>
      <c r="C22" s="125"/>
      <c r="D22" s="125"/>
      <c r="E22" s="125"/>
      <c r="F22" s="125"/>
    </row>
    <row r="23" ht="13.5" customHeight="1">
      <c r="A23" s="78"/>
      <c r="C23" s="125"/>
      <c r="D23" s="125"/>
      <c r="E23" s="125"/>
      <c r="F23" s="125"/>
    </row>
    <row r="24" ht="13.5" customHeight="1">
      <c r="A24" s="128" t="s">
        <v>106</v>
      </c>
      <c r="B24" s="129"/>
      <c r="C24" s="129"/>
      <c r="D24" s="129"/>
      <c r="E24" s="129"/>
      <c r="F24" s="129"/>
    </row>
    <row r="25" ht="13.5" customHeight="1">
      <c r="A25" s="130" t="s">
        <v>67</v>
      </c>
      <c r="B25" s="131" t="s">
        <v>68</v>
      </c>
      <c r="C25" s="60" t="s">
        <v>49</v>
      </c>
      <c r="D25" s="60" t="s">
        <v>70</v>
      </c>
      <c r="E25" s="60" t="s">
        <v>52</v>
      </c>
      <c r="F25" s="60" t="s">
        <v>71</v>
      </c>
    </row>
    <row r="26" ht="13.5" customHeight="1">
      <c r="A26" s="133"/>
      <c r="B26" s="134"/>
      <c r="C26" s="70"/>
      <c r="D26" s="70"/>
      <c r="E26" s="70" t="s">
        <v>56</v>
      </c>
      <c r="F26" s="70" t="s">
        <v>37</v>
      </c>
    </row>
    <row r="27" ht="13.5" customHeight="1">
      <c r="A27" s="141" t="str">
        <f>+P.U!A234</f>
        <v>1</v>
      </c>
      <c r="B27" s="142" t="str">
        <f>+P.U!B234</f>
        <v>Techador</v>
      </c>
      <c r="C27" s="141" t="str">
        <f>+P.U!C234</f>
        <v>día</v>
      </c>
      <c r="D27" s="141">
        <f>+P.U!D234</f>
        <v>0.04</v>
      </c>
      <c r="E27" s="141">
        <f>+P.U!E234</f>
        <v>65000</v>
      </c>
      <c r="F27" s="149">
        <f>+P.U!F234</f>
        <v>2600</v>
      </c>
    </row>
    <row r="28" ht="13.5" customHeight="1">
      <c r="A28" s="141" t="str">
        <f>+P.U!A235</f>
        <v>2</v>
      </c>
      <c r="B28" s="142" t="str">
        <f>+P.U!B235</f>
        <v>Ayudante</v>
      </c>
      <c r="C28" s="141" t="str">
        <f>+P.U!C235</f>
        <v>día</v>
      </c>
      <c r="D28" s="141">
        <f>+P.U!D235</f>
        <v>0.04</v>
      </c>
      <c r="E28" s="141">
        <f>+P.U!E235</f>
        <v>50000</v>
      </c>
      <c r="F28" s="149">
        <f>+P.U!F235</f>
        <v>2000</v>
      </c>
    </row>
    <row r="29" ht="13.5" customHeight="1">
      <c r="A29" s="141"/>
      <c r="B29" s="158"/>
      <c r="C29" s="159"/>
      <c r="D29" s="159"/>
      <c r="E29" s="159"/>
      <c r="F29" s="162"/>
    </row>
    <row r="30" ht="13.5" customHeight="1">
      <c r="A30" s="141"/>
      <c r="B30" s="134"/>
      <c r="C30" s="70"/>
      <c r="D30" s="70"/>
      <c r="E30" s="159"/>
      <c r="F30" s="162"/>
    </row>
    <row r="31" ht="13.5" customHeight="1">
      <c r="A31" s="121"/>
      <c r="B31" s="78"/>
      <c r="C31" s="81"/>
      <c r="D31" s="81"/>
      <c r="E31" s="164" t="s">
        <v>121</v>
      </c>
      <c r="F31" s="162">
        <f>+P.U!F236</f>
        <v>4600</v>
      </c>
    </row>
    <row r="32" ht="13.5" customHeight="1">
      <c r="A32" s="167"/>
      <c r="B32" s="168" t="s">
        <v>123</v>
      </c>
      <c r="C32" s="169" t="s">
        <v>124</v>
      </c>
      <c r="D32" s="170">
        <f>+P.U!F237</f>
        <v>2300</v>
      </c>
      <c r="E32" s="102"/>
      <c r="F32" s="109"/>
    </row>
    <row r="33" ht="13.5" customHeight="1">
      <c r="A33" s="124"/>
      <c r="B33" s="124"/>
      <c r="C33" s="125"/>
      <c r="D33" s="125"/>
      <c r="E33" s="122" t="s">
        <v>60</v>
      </c>
      <c r="F33" s="171">
        <f>+P.U!F238</f>
        <v>6900</v>
      </c>
    </row>
    <row r="34" ht="13.5" customHeight="1">
      <c r="A34" s="27"/>
      <c r="B34" s="27"/>
      <c r="C34" s="27"/>
      <c r="D34" s="27"/>
      <c r="E34" s="27"/>
      <c r="F34" s="27"/>
    </row>
    <row r="35" ht="13.5" customHeight="1">
      <c r="A35" s="86"/>
      <c r="C35" s="27"/>
      <c r="D35" s="27"/>
      <c r="E35" s="27"/>
      <c r="F35" s="27"/>
    </row>
    <row r="36" ht="13.5" customHeight="1">
      <c r="A36" s="173" t="s">
        <v>128</v>
      </c>
      <c r="B36" s="129"/>
      <c r="C36" s="129"/>
      <c r="D36" s="129"/>
      <c r="E36" s="129"/>
      <c r="F36" s="129"/>
    </row>
    <row r="37" ht="13.5" customHeight="1">
      <c r="A37" s="88" t="s">
        <v>67</v>
      </c>
      <c r="B37" s="60" t="s">
        <v>68</v>
      </c>
      <c r="C37" s="60" t="s">
        <v>49</v>
      </c>
      <c r="D37" s="60" t="s">
        <v>70</v>
      </c>
      <c r="E37" s="60" t="s">
        <v>52</v>
      </c>
      <c r="F37" s="60" t="s">
        <v>71</v>
      </c>
    </row>
    <row r="38" ht="13.5" customHeight="1">
      <c r="A38" s="93"/>
      <c r="B38" s="70"/>
      <c r="C38" s="70"/>
      <c r="D38" s="70"/>
      <c r="E38" s="70" t="s">
        <v>56</v>
      </c>
      <c r="F38" s="70" t="s">
        <v>37</v>
      </c>
    </row>
    <row r="39" ht="13.5" customHeight="1">
      <c r="A39" s="141" t="str">
        <f>+P.U!A242</f>
        <v>1</v>
      </c>
      <c r="B39" s="176" t="str">
        <f>+P.U!B242</f>
        <v>Atornillador</v>
      </c>
      <c r="C39" s="141" t="str">
        <f>+P.U!C242</f>
        <v>día</v>
      </c>
      <c r="D39" s="141">
        <f>+P.U!D242</f>
        <v>0.01</v>
      </c>
      <c r="E39" s="141">
        <f>+P.U!E242</f>
        <v>8000</v>
      </c>
      <c r="F39" s="149">
        <f>+P.U!F242</f>
        <v>80</v>
      </c>
    </row>
    <row r="40" ht="13.5" customHeight="1">
      <c r="A40" s="141" t="str">
        <f>+P.U!A243</f>
        <v>2</v>
      </c>
      <c r="B40" s="176" t="str">
        <f>+P.U!B243</f>
        <v>Andamio (apoyo)</v>
      </c>
      <c r="C40" s="141" t="str">
        <f>+P.U!C243</f>
        <v>día</v>
      </c>
      <c r="D40" s="141">
        <f>+P.U!D243</f>
        <v>0.01</v>
      </c>
      <c r="E40" s="141">
        <f>+P.U!E243</f>
        <v>3500</v>
      </c>
      <c r="F40" s="149">
        <f>+P.U!F243</f>
        <v>35</v>
      </c>
    </row>
    <row r="41" ht="13.5" customHeight="1">
      <c r="A41" s="141"/>
      <c r="B41" s="177"/>
      <c r="C41" s="159"/>
      <c r="D41" s="159"/>
      <c r="E41" s="159"/>
      <c r="F41" s="162"/>
    </row>
    <row r="42" ht="13.5" customHeight="1">
      <c r="A42" s="141"/>
      <c r="B42" s="177"/>
      <c r="C42" s="159"/>
      <c r="D42" s="159"/>
      <c r="E42" s="159"/>
      <c r="F42" s="162"/>
    </row>
    <row r="43" ht="13.5" customHeight="1">
      <c r="A43" s="178"/>
      <c r="B43" s="178"/>
      <c r="C43" s="121"/>
      <c r="D43" s="178"/>
      <c r="E43" s="122" t="s">
        <v>37</v>
      </c>
      <c r="F43" s="123">
        <f>+P.U!F244</f>
        <v>115</v>
      </c>
    </row>
    <row r="44" ht="13.5" customHeight="1">
      <c r="A44" s="27"/>
      <c r="B44" s="27"/>
      <c r="C44" s="27"/>
      <c r="D44" s="27"/>
      <c r="E44" s="27"/>
      <c r="F44" s="27"/>
    </row>
    <row r="45" ht="13.5" customHeight="1">
      <c r="A45" s="27"/>
      <c r="B45" s="27"/>
      <c r="C45" s="27"/>
      <c r="D45" s="27"/>
      <c r="E45" s="27"/>
      <c r="F45" s="27"/>
    </row>
    <row r="46" ht="13.5" customHeight="1">
      <c r="A46" s="27"/>
      <c r="B46" s="27"/>
      <c r="C46" s="27"/>
      <c r="D46" s="27"/>
      <c r="E46" s="27"/>
      <c r="F46" s="27"/>
    </row>
    <row r="47" ht="13.5" customHeight="1">
      <c r="A47" s="27"/>
      <c r="B47" s="179" t="s">
        <v>143</v>
      </c>
      <c r="C47" s="27"/>
      <c r="D47" s="27"/>
      <c r="E47" s="27"/>
      <c r="F47" s="27"/>
    </row>
    <row r="48" ht="13.5" customHeight="1">
      <c r="A48" s="27"/>
      <c r="B48" s="179" t="s">
        <v>145</v>
      </c>
      <c r="C48" s="180"/>
      <c r="D48" s="27"/>
      <c r="E48" s="27"/>
      <c r="F48" s="27"/>
    </row>
    <row r="49" ht="13.5" customHeight="1">
      <c r="A49" s="27"/>
      <c r="B49" s="179" t="s">
        <v>146</v>
      </c>
      <c r="C49" s="180"/>
      <c r="D49" s="27"/>
      <c r="E49" s="27"/>
      <c r="F49" s="27"/>
    </row>
    <row r="50" ht="13.5" customHeight="1">
      <c r="B50" s="179" t="s">
        <v>147</v>
      </c>
    </row>
    <row r="51" ht="13.5" customHeight="1"/>
    <row r="52" ht="13.5" customHeight="1"/>
    <row r="53" ht="13.5" customHeight="1">
      <c r="A53" s="15" t="s">
        <v>12</v>
      </c>
    </row>
    <row r="54" ht="13.5" customHeight="1">
      <c r="A54" s="27"/>
      <c r="B54" s="27"/>
      <c r="C54" s="27"/>
      <c r="D54" s="27"/>
      <c r="E54" s="27"/>
      <c r="F54" s="27"/>
    </row>
    <row r="55" ht="13.5" customHeight="1">
      <c r="A55" s="25" t="s">
        <v>24</v>
      </c>
    </row>
    <row r="56" ht="13.5" customHeight="1">
      <c r="A56" s="27"/>
      <c r="B56" s="27"/>
      <c r="C56" s="27"/>
      <c r="D56" s="27"/>
      <c r="E56" s="27"/>
      <c r="F56" s="28"/>
    </row>
    <row r="57" ht="51.75" customHeight="1">
      <c r="A57" s="31" t="s">
        <v>26</v>
      </c>
      <c r="B57" s="34"/>
      <c r="C57" s="34"/>
      <c r="D57" s="34"/>
      <c r="E57" s="34"/>
      <c r="F57" s="36"/>
    </row>
    <row r="58" ht="13.5" customHeight="1">
      <c r="A58" s="39" t="s">
        <v>31</v>
      </c>
      <c r="B58" s="34"/>
      <c r="C58" s="34"/>
      <c r="D58" s="34"/>
      <c r="E58" s="34"/>
      <c r="F58" s="36"/>
    </row>
    <row r="59" ht="13.5" customHeight="1">
      <c r="A59" s="39" t="s">
        <v>38</v>
      </c>
      <c r="B59" s="34"/>
      <c r="C59" s="34"/>
      <c r="D59" s="34"/>
      <c r="E59" s="34"/>
      <c r="F59" s="36"/>
    </row>
    <row r="60" ht="13.5" customHeight="1">
      <c r="A60" s="27"/>
      <c r="B60" s="27"/>
      <c r="C60" s="27"/>
      <c r="D60" s="27"/>
      <c r="E60" s="27"/>
      <c r="F60" s="27"/>
    </row>
    <row r="61" ht="13.5" customHeight="1">
      <c r="A61" s="50" t="s">
        <v>46</v>
      </c>
      <c r="B61" s="51" t="s">
        <v>153</v>
      </c>
      <c r="C61" s="54" t="s">
        <v>154</v>
      </c>
      <c r="D61" s="57" t="s">
        <v>49</v>
      </c>
      <c r="E61" s="58"/>
      <c r="F61" s="60" t="s">
        <v>52</v>
      </c>
    </row>
    <row r="62" ht="13.5" customHeight="1">
      <c r="A62" s="62"/>
      <c r="B62" s="64"/>
      <c r="C62" s="67" t="str">
        <f>+P.U!A532</f>
        <v>2.2.3</v>
      </c>
      <c r="D62" s="68" t="str">
        <f>+P.U!B530</f>
        <v>m²</v>
      </c>
      <c r="E62" s="69"/>
      <c r="F62" s="70" t="s">
        <v>56</v>
      </c>
    </row>
    <row r="63" ht="13.5" customHeight="1">
      <c r="A63" s="71" t="s">
        <v>58</v>
      </c>
      <c r="B63" s="73"/>
      <c r="C63" s="73"/>
      <c r="D63" s="75"/>
      <c r="E63" s="70"/>
      <c r="F63" s="181">
        <f>+P.U!F557</f>
        <v>37262</v>
      </c>
    </row>
    <row r="64" ht="13.5" customHeight="1">
      <c r="A64" s="78"/>
      <c r="B64" s="78"/>
      <c r="C64" s="78"/>
      <c r="D64" s="78"/>
      <c r="E64" s="27"/>
      <c r="F64" s="81"/>
    </row>
    <row r="65" ht="13.5" customHeight="1">
      <c r="A65" s="86" t="s">
        <v>66</v>
      </c>
      <c r="B65" s="27"/>
      <c r="C65" s="27"/>
      <c r="D65" s="27"/>
      <c r="E65" s="27"/>
      <c r="F65" s="27"/>
    </row>
    <row r="66" ht="13.5" customHeight="1">
      <c r="A66" s="88" t="s">
        <v>67</v>
      </c>
      <c r="B66" s="60" t="s">
        <v>68</v>
      </c>
      <c r="C66" s="60" t="s">
        <v>49</v>
      </c>
      <c r="D66" s="60" t="s">
        <v>70</v>
      </c>
      <c r="E66" s="60" t="s">
        <v>52</v>
      </c>
      <c r="F66" s="60" t="s">
        <v>71</v>
      </c>
    </row>
    <row r="67" ht="13.5" customHeight="1">
      <c r="A67" s="93"/>
      <c r="B67" s="70"/>
      <c r="C67" s="70"/>
      <c r="D67" s="70"/>
      <c r="E67" s="70" t="s">
        <v>56</v>
      </c>
      <c r="F67" s="70" t="s">
        <v>37</v>
      </c>
    </row>
    <row r="68" ht="13.5" customHeight="1">
      <c r="A68" s="96" t="str">
        <f>+P.U!A535</f>
        <v>1</v>
      </c>
      <c r="B68" s="183" t="str">
        <f>+P.U!B535</f>
        <v>Porcelanato Artech Gris Mate Inout 23x120</v>
      </c>
      <c r="C68" s="96" t="str">
        <f>+P.U!C535</f>
        <v>m2</v>
      </c>
      <c r="D68" s="96">
        <f>+P.U!D535</f>
        <v>1.05</v>
      </c>
      <c r="E68" s="185">
        <f>+P.U!E535</f>
        <v>19500</v>
      </c>
      <c r="F68" s="186">
        <f>+P.U!F535</f>
        <v>20475</v>
      </c>
    </row>
    <row r="69" ht="13.5" customHeight="1">
      <c r="A69" s="96" t="str">
        <f>+P.U!A536</f>
        <v>2</v>
      </c>
      <c r="B69" s="183" t="str">
        <f>+P.U!B536</f>
        <v>Adhesivo DA 25 kg (6 kg/m²)</v>
      </c>
      <c r="C69" s="96" t="str">
        <f>+P.U!C536</f>
        <v>kg</v>
      </c>
      <c r="D69" s="96">
        <f>+P.U!D536</f>
        <v>6</v>
      </c>
      <c r="E69" s="185">
        <f>+P.U!E536</f>
        <v>312</v>
      </c>
      <c r="F69" s="186">
        <f>+P.U!F536</f>
        <v>1872</v>
      </c>
    </row>
    <row r="70" ht="13.5" customHeight="1">
      <c r="A70" s="96" t="str">
        <f>+P.U!A537</f>
        <v>3</v>
      </c>
      <c r="B70" s="183" t="str">
        <f>+P.U!B537</f>
        <v>Fragüe 1 kg (0,35 kg/m²)</v>
      </c>
      <c r="C70" s="96" t="str">
        <f>+P.U!C537</f>
        <v>kg</v>
      </c>
      <c r="D70" s="96">
        <f>+P.U!D537</f>
        <v>0.35</v>
      </c>
      <c r="E70" s="185">
        <f>+P.U!E537</f>
        <v>1592</v>
      </c>
      <c r="F70" s="186">
        <f>+P.U!F537</f>
        <v>557</v>
      </c>
    </row>
    <row r="71" ht="13.5" customHeight="1">
      <c r="A71" s="96" t="str">
        <f>+P.U!A538</f>
        <v>4</v>
      </c>
      <c r="B71" s="183" t="str">
        <f>+P.U!B538</f>
        <v>Niveladores/Clips (12 un/m²)</v>
      </c>
      <c r="C71" s="96" t="str">
        <f>+P.U!C538</f>
        <v>un</v>
      </c>
      <c r="D71" s="96">
        <f>+P.U!D538</f>
        <v>12</v>
      </c>
      <c r="E71" s="185">
        <f>+P.U!E538</f>
        <v>34</v>
      </c>
      <c r="F71" s="186">
        <f>+P.U!F538</f>
        <v>408</v>
      </c>
    </row>
    <row r="72" ht="13.5" customHeight="1">
      <c r="A72" s="96"/>
      <c r="B72" s="188"/>
      <c r="C72" s="102"/>
      <c r="D72" s="102"/>
      <c r="E72" s="103"/>
      <c r="F72" s="109"/>
    </row>
    <row r="73" ht="13.5" customHeight="1">
      <c r="A73" s="178"/>
      <c r="B73" s="178"/>
      <c r="C73" s="121"/>
      <c r="D73" s="121"/>
      <c r="E73" s="189" t="s">
        <v>37</v>
      </c>
      <c r="F73" s="123">
        <f>+P.U!F539</f>
        <v>23312</v>
      </c>
    </row>
    <row r="74" ht="13.5" customHeight="1">
      <c r="A74" s="178"/>
      <c r="B74" s="178"/>
      <c r="C74" s="121"/>
      <c r="D74" s="121"/>
      <c r="E74" s="190"/>
      <c r="F74" s="191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3.5" customHeight="1">
      <c r="A75" s="27"/>
      <c r="B75" s="27"/>
      <c r="C75" s="27"/>
      <c r="D75" s="27"/>
      <c r="E75" s="27"/>
      <c r="F75" s="27"/>
    </row>
    <row r="76" ht="13.5" customHeight="1">
      <c r="A76" s="173" t="s">
        <v>106</v>
      </c>
      <c r="B76" s="129"/>
      <c r="C76" s="192"/>
      <c r="D76" s="192"/>
      <c r="E76" s="192"/>
      <c r="F76" s="192"/>
    </row>
    <row r="77" ht="13.5" customHeight="1">
      <c r="A77" s="88" t="s">
        <v>67</v>
      </c>
      <c r="B77" s="60" t="s">
        <v>68</v>
      </c>
      <c r="C77" s="60" t="s">
        <v>49</v>
      </c>
      <c r="D77" s="60" t="s">
        <v>70</v>
      </c>
      <c r="E77" s="60" t="s">
        <v>52</v>
      </c>
      <c r="F77" s="60" t="s">
        <v>71</v>
      </c>
    </row>
    <row r="78" ht="13.5" customHeight="1">
      <c r="A78" s="93"/>
      <c r="B78" s="70"/>
      <c r="C78" s="70"/>
      <c r="D78" s="70"/>
      <c r="E78" s="70" t="s">
        <v>56</v>
      </c>
      <c r="F78" s="70" t="s">
        <v>37</v>
      </c>
    </row>
    <row r="79" ht="13.5" customHeight="1">
      <c r="A79" s="141" t="str">
        <f>+P.U!A543</f>
        <v>1</v>
      </c>
      <c r="B79" s="176" t="str">
        <f>+P.U!B543</f>
        <v>Maestro</v>
      </c>
      <c r="C79" s="141" t="str">
        <f>+P.U!C543</f>
        <v>día</v>
      </c>
      <c r="D79" s="193">
        <f>+P.U!D543</f>
        <v>0.1</v>
      </c>
      <c r="E79" s="141">
        <f>+P.U!E543</f>
        <v>65000</v>
      </c>
      <c r="F79" s="196">
        <f>+P.U!F543</f>
        <v>6500</v>
      </c>
    </row>
    <row r="80" ht="13.5" customHeight="1">
      <c r="A80" s="141" t="str">
        <f>+P.U!A544</f>
        <v>2</v>
      </c>
      <c r="B80" s="176" t="str">
        <f>+P.U!B544</f>
        <v>Ayudante</v>
      </c>
      <c r="C80" s="141" t="str">
        <f>+P.U!C544</f>
        <v>día</v>
      </c>
      <c r="D80" s="193">
        <f>+P.U!D544</f>
        <v>0.05</v>
      </c>
      <c r="E80" s="141">
        <f>+P.U!E544</f>
        <v>50000</v>
      </c>
      <c r="F80" s="196">
        <f>+P.U!F544</f>
        <v>2500</v>
      </c>
    </row>
    <row r="81" ht="13.5" customHeight="1">
      <c r="A81" s="141"/>
      <c r="B81" s="177"/>
      <c r="C81" s="159"/>
      <c r="D81" s="159"/>
      <c r="E81" s="159"/>
      <c r="F81" s="159"/>
    </row>
    <row r="82" ht="13.5" customHeight="1">
      <c r="A82" s="141"/>
      <c r="B82" s="200"/>
      <c r="C82" s="70"/>
      <c r="D82" s="70"/>
      <c r="E82" s="159"/>
      <c r="F82" s="159"/>
    </row>
    <row r="83" ht="13.5" customHeight="1">
      <c r="A83" s="121"/>
      <c r="B83" s="86"/>
      <c r="C83" s="81"/>
      <c r="D83" s="81"/>
      <c r="E83" s="164" t="s">
        <v>121</v>
      </c>
      <c r="F83" s="201">
        <f>+P.U!F545</f>
        <v>9000</v>
      </c>
    </row>
    <row r="84" ht="13.5" customHeight="1">
      <c r="A84" s="167"/>
      <c r="B84" s="202" t="s">
        <v>123</v>
      </c>
      <c r="C84" s="169" t="s">
        <v>124</v>
      </c>
      <c r="D84" s="170">
        <f>+P.U!F546</f>
        <v>4500</v>
      </c>
      <c r="E84" s="102"/>
      <c r="F84" s="102"/>
    </row>
    <row r="85" ht="13.5" customHeight="1">
      <c r="A85" s="27"/>
      <c r="B85" s="27"/>
      <c r="C85" s="125"/>
      <c r="D85" s="125"/>
      <c r="E85" s="125"/>
      <c r="F85" s="203">
        <f>+P.U!F547</f>
        <v>13500</v>
      </c>
    </row>
    <row r="86" ht="13.5" customHeight="1">
      <c r="A86" s="27"/>
      <c r="B86" s="27"/>
      <c r="C86" s="27"/>
      <c r="D86" s="27"/>
      <c r="E86" s="27"/>
      <c r="F86" s="27"/>
    </row>
    <row r="87" ht="13.5" customHeight="1">
      <c r="A87" s="86"/>
      <c r="C87" s="27"/>
      <c r="D87" s="27"/>
      <c r="E87" s="27"/>
      <c r="F87" s="27"/>
    </row>
    <row r="88" ht="13.5" customHeight="1">
      <c r="A88" s="173" t="s">
        <v>128</v>
      </c>
      <c r="B88" s="129"/>
      <c r="C88" s="129"/>
      <c r="D88" s="129"/>
      <c r="E88" s="129"/>
      <c r="F88" s="129"/>
    </row>
    <row r="89" ht="13.5" customHeight="1">
      <c r="A89" s="88" t="s">
        <v>67</v>
      </c>
      <c r="B89" s="60" t="s">
        <v>68</v>
      </c>
      <c r="C89" s="60" t="s">
        <v>49</v>
      </c>
      <c r="D89" s="60" t="s">
        <v>70</v>
      </c>
      <c r="E89" s="60" t="s">
        <v>52</v>
      </c>
      <c r="F89" s="60" t="s">
        <v>71</v>
      </c>
    </row>
    <row r="90" ht="13.5" customHeight="1">
      <c r="A90" s="93"/>
      <c r="B90" s="70"/>
      <c r="C90" s="70"/>
      <c r="D90" s="70"/>
      <c r="E90" s="70" t="s">
        <v>56</v>
      </c>
      <c r="F90" s="70" t="s">
        <v>37</v>
      </c>
    </row>
    <row r="91" ht="13.5" customHeight="1">
      <c r="A91" s="141" t="str">
        <f>+P.U!A551</f>
        <v>1</v>
      </c>
      <c r="B91" s="176" t="str">
        <f>+P.U!B551</f>
        <v>Desagaste herramientas</v>
      </c>
      <c r="C91" s="141" t="str">
        <f>+P.U!C551</f>
        <v>día</v>
      </c>
      <c r="D91" s="204">
        <f>+P.U!D551</f>
        <v>0.01</v>
      </c>
      <c r="E91" s="205">
        <f>+P.U!E551</f>
        <v>45000</v>
      </c>
      <c r="F91" s="149">
        <f>+P.U!F551</f>
        <v>450</v>
      </c>
    </row>
    <row r="92" ht="13.5" customHeight="1">
      <c r="A92" s="176"/>
      <c r="B92" s="176"/>
      <c r="C92" s="176"/>
      <c r="D92" s="176"/>
      <c r="E92" s="206"/>
      <c r="F92" s="207"/>
    </row>
    <row r="93" ht="13.5" customHeight="1">
      <c r="A93" s="176"/>
      <c r="B93" s="177"/>
      <c r="C93" s="159"/>
      <c r="D93" s="177"/>
      <c r="E93" s="208"/>
      <c r="F93" s="209"/>
    </row>
    <row r="94" ht="13.5" customHeight="1">
      <c r="A94" s="176"/>
      <c r="B94" s="177"/>
      <c r="C94" s="159"/>
      <c r="D94" s="177"/>
      <c r="E94" s="208"/>
      <c r="F94" s="209"/>
    </row>
    <row r="95" ht="13.5" customHeight="1">
      <c r="A95" s="178"/>
      <c r="B95" s="178"/>
      <c r="C95" s="121"/>
      <c r="D95" s="178"/>
      <c r="E95" s="210" t="s">
        <v>37</v>
      </c>
      <c r="F95" s="211">
        <f>+P.U!F553</f>
        <v>450</v>
      </c>
    </row>
    <row r="96" ht="13.5" customHeight="1">
      <c r="A96" s="27"/>
      <c r="B96" s="27"/>
      <c r="C96" s="27"/>
      <c r="D96" s="27"/>
      <c r="E96" s="27"/>
      <c r="F96" s="27"/>
    </row>
    <row r="97" ht="13.5" customHeight="1">
      <c r="A97" s="27"/>
      <c r="B97" s="27"/>
      <c r="C97" s="27"/>
      <c r="D97" s="27"/>
      <c r="E97" s="27"/>
      <c r="F97" s="27"/>
    </row>
    <row r="98" ht="13.5" customHeight="1">
      <c r="A98" s="27"/>
      <c r="B98" s="27"/>
      <c r="C98" s="27"/>
      <c r="D98" s="27"/>
      <c r="E98" s="27"/>
      <c r="F98" s="27"/>
    </row>
    <row r="99" ht="13.5" customHeight="1">
      <c r="A99" s="27"/>
      <c r="B99" s="179" t="s">
        <v>143</v>
      </c>
      <c r="C99" s="27"/>
      <c r="D99" s="27"/>
      <c r="E99" s="27"/>
      <c r="F99" s="27"/>
    </row>
    <row r="100" ht="13.5" customHeight="1">
      <c r="A100" s="27"/>
      <c r="B100" s="179" t="s">
        <v>145</v>
      </c>
      <c r="C100" s="180"/>
      <c r="D100" s="27"/>
      <c r="E100" s="27"/>
      <c r="F100" s="27"/>
    </row>
    <row r="101" ht="13.5" customHeight="1">
      <c r="A101" s="27"/>
      <c r="B101" s="179" t="s">
        <v>146</v>
      </c>
      <c r="C101" s="180"/>
      <c r="D101" s="27"/>
      <c r="E101" s="27"/>
      <c r="F101" s="27"/>
    </row>
    <row r="102" ht="13.5" customHeight="1">
      <c r="B102" s="179" t="s">
        <v>147</v>
      </c>
    </row>
    <row r="103" ht="13.5" customHeight="1"/>
    <row r="104" ht="13.5" customHeight="1"/>
    <row r="105" ht="13.5" customHeight="1">
      <c r="A105" s="15" t="s">
        <v>12</v>
      </c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3.5" customHeight="1">
      <c r="A106" s="15"/>
      <c r="B106" s="15"/>
      <c r="C106" s="15"/>
      <c r="D106" s="15"/>
      <c r="E106" s="15"/>
      <c r="F106" s="15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3.5" customHeight="1">
      <c r="A107" s="25" t="s">
        <v>24</v>
      </c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3.5" customHeight="1">
      <c r="A108" s="25"/>
      <c r="B108" s="25"/>
      <c r="C108" s="25"/>
      <c r="D108" s="25"/>
      <c r="E108" s="25"/>
      <c r="F108" s="25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38.25" customHeight="1">
      <c r="A109" s="31" t="s">
        <v>26</v>
      </c>
      <c r="B109" s="34"/>
      <c r="C109" s="34"/>
      <c r="D109" s="34"/>
      <c r="E109" s="34"/>
      <c r="F109" s="36"/>
    </row>
    <row r="110" ht="13.5" customHeight="1">
      <c r="A110" s="39" t="s">
        <v>31</v>
      </c>
      <c r="B110" s="34"/>
      <c r="C110" s="34"/>
      <c r="D110" s="34"/>
      <c r="E110" s="34"/>
      <c r="F110" s="36"/>
    </row>
    <row r="111" ht="13.5" customHeight="1">
      <c r="A111" s="39" t="s">
        <v>38</v>
      </c>
      <c r="B111" s="34"/>
      <c r="C111" s="34"/>
      <c r="D111" s="34"/>
      <c r="E111" s="34"/>
      <c r="F111" s="36"/>
    </row>
    <row r="112" ht="13.5" customHeight="1">
      <c r="A112" s="27"/>
      <c r="B112" s="27"/>
      <c r="C112" s="27"/>
      <c r="D112" s="27"/>
      <c r="E112" s="27"/>
      <c r="F112" s="27"/>
    </row>
    <row r="113" ht="13.5" customHeight="1">
      <c r="A113" s="27"/>
      <c r="B113" s="27"/>
      <c r="C113" s="27"/>
      <c r="D113" s="27"/>
      <c r="E113" s="27"/>
      <c r="F113" s="27"/>
    </row>
    <row r="114" ht="13.5" customHeight="1">
      <c r="A114" s="50" t="s">
        <v>46</v>
      </c>
      <c r="B114" s="51" t="s">
        <v>215</v>
      </c>
      <c r="C114" s="54" t="s">
        <v>216</v>
      </c>
      <c r="D114" s="57" t="s">
        <v>49</v>
      </c>
      <c r="E114" s="58"/>
      <c r="F114" s="60" t="s">
        <v>52</v>
      </c>
    </row>
    <row r="115" ht="13.5" customHeight="1">
      <c r="A115" s="62"/>
      <c r="B115" s="64"/>
      <c r="C115" s="67" t="str">
        <f>+P.U!A1060</f>
        <v>2.4.1</v>
      </c>
      <c r="D115" s="68" t="str">
        <f>+P.U!B1058</f>
        <v>m²</v>
      </c>
      <c r="E115" s="69"/>
      <c r="F115" s="70" t="s">
        <v>56</v>
      </c>
    </row>
    <row r="116" ht="13.5" customHeight="1">
      <c r="A116" s="71" t="s">
        <v>58</v>
      </c>
      <c r="B116" s="73"/>
      <c r="C116" s="73"/>
      <c r="D116" s="75"/>
      <c r="E116" s="70"/>
      <c r="F116" s="76">
        <f>+P.U!F1089</f>
        <v>19992</v>
      </c>
    </row>
    <row r="117" ht="13.5" customHeight="1">
      <c r="A117" s="78"/>
      <c r="B117" s="78"/>
      <c r="C117" s="78"/>
      <c r="D117" s="78"/>
      <c r="E117" s="27"/>
      <c r="F117" s="81"/>
    </row>
    <row r="118" ht="13.5" customHeight="1">
      <c r="A118" s="86" t="s">
        <v>66</v>
      </c>
      <c r="B118" s="27"/>
      <c r="C118" s="27"/>
      <c r="D118" s="27"/>
      <c r="E118" s="27"/>
      <c r="F118" s="27"/>
    </row>
    <row r="119" ht="13.5" customHeight="1">
      <c r="A119" s="88" t="s">
        <v>67</v>
      </c>
      <c r="B119" s="60" t="s">
        <v>68</v>
      </c>
      <c r="C119" s="60" t="s">
        <v>49</v>
      </c>
      <c r="D119" s="60" t="s">
        <v>70</v>
      </c>
      <c r="E119" s="60" t="s">
        <v>52</v>
      </c>
      <c r="F119" s="60" t="s">
        <v>71</v>
      </c>
    </row>
    <row r="120" ht="13.5" customHeight="1">
      <c r="A120" s="93"/>
      <c r="B120" s="70"/>
      <c r="C120" s="70"/>
      <c r="D120" s="70"/>
      <c r="E120" s="70" t="s">
        <v>56</v>
      </c>
      <c r="F120" s="70" t="s">
        <v>37</v>
      </c>
    </row>
    <row r="121" ht="13.5" customHeight="1">
      <c r="A121" s="96">
        <f>IF(+P.U!A1063=0," ",P.U!A1063)</f>
        <v>1</v>
      </c>
      <c r="B121" s="213" t="str">
        <f>IF(+P.U!B1063=0," ",P.U!B1063)</f>
        <v>Placa yeso-cartón ST 10 mm</v>
      </c>
      <c r="C121" s="96" t="str">
        <f>IF(+P.U!C1063=0," ",P.U!C1063)</f>
        <v>m²</v>
      </c>
      <c r="D121" s="96">
        <f>IF(+P.U!D1063=0," ",P.U!D1063)</f>
        <v>1</v>
      </c>
      <c r="E121" s="185">
        <f>IF(+P.U!E1063=0," ",P.U!E1063)</f>
        <v>2550</v>
      </c>
      <c r="F121" s="186">
        <f>IF(+P.U!F1063=0," ",P.U!F1063)</f>
        <v>2550</v>
      </c>
    </row>
    <row r="122" ht="13.5" customHeight="1">
      <c r="A122" s="96">
        <f>IF(+P.U!A1064=0," ",P.U!A1064)</f>
        <v>2</v>
      </c>
      <c r="B122" s="213" t="str">
        <f>IF(+P.U!B1064=0," ",P.U!B1064)</f>
        <v>Perfil Omega 0,5 mm (2,5 ml/m²)</v>
      </c>
      <c r="C122" s="96" t="str">
        <f>IF(+P.U!C1064=0," ",P.U!C1064)</f>
        <v>ml</v>
      </c>
      <c r="D122" s="96">
        <f>IF(+P.U!D1064=0," ",P.U!D1064)</f>
        <v>2.5</v>
      </c>
      <c r="E122" s="185">
        <f>IF(+P.U!E1064=0," ",P.U!E1064)</f>
        <v>529</v>
      </c>
      <c r="F122" s="186">
        <f>IF(+P.U!F1064=0," ",P.U!F1064)</f>
        <v>1323</v>
      </c>
    </row>
    <row r="123" ht="13.5" customHeight="1">
      <c r="A123" s="96">
        <f>IF(+P.U!A1065=0," ",P.U!A1065)</f>
        <v>3</v>
      </c>
      <c r="B123" s="213" t="str">
        <f>IF(+P.U!B1065=0," ",P.U!B1065)</f>
        <v>Canal perimetral 20x25 (0,20 ml/m²)</v>
      </c>
      <c r="C123" s="96" t="str">
        <f>IF(+P.U!C1065=0," ",P.U!C1065)</f>
        <v>ml</v>
      </c>
      <c r="D123" s="96">
        <f>IF(+P.U!D1065=0," ",P.U!D1065)</f>
        <v>0.2</v>
      </c>
      <c r="E123" s="185">
        <f>IF(+P.U!E1065=0," ",P.U!E1065)</f>
        <v>417</v>
      </c>
      <c r="F123" s="186">
        <f>IF(+P.U!F1065=0," ",P.U!F1065)</f>
        <v>83</v>
      </c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3.5" customHeight="1">
      <c r="A124" s="96">
        <f>IF(+P.U!A1066=0," ",P.U!A1066)</f>
        <v>4</v>
      </c>
      <c r="B124" s="213" t="str">
        <f>IF(+P.U!B1066=0," ",P.U!B1066)</f>
        <v>Tornillo yeso-cartón 1-1/4" (20 u/m²)</v>
      </c>
      <c r="C124" s="96" t="str">
        <f>IF(+P.U!C1066=0," ",P.U!C1066)</f>
        <v>un</v>
      </c>
      <c r="D124" s="96">
        <f>IF(+P.U!D1066=0," ",P.U!D1066)</f>
        <v>20</v>
      </c>
      <c r="E124" s="185">
        <f>IF(+P.U!E1066=0," ",P.U!E1066)</f>
        <v>8</v>
      </c>
      <c r="F124" s="186">
        <f>IF(+P.U!F1066=0," ",P.U!F1066)</f>
        <v>160</v>
      </c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3.5" customHeight="1">
      <c r="A125" s="96">
        <f>IF(+P.U!A1067=0," ",P.U!A1067)</f>
        <v>5</v>
      </c>
      <c r="B125" s="213" t="str">
        <f>IF(+P.U!B1067=0," ",P.U!B1067)</f>
        <v>Cinta papel 50 mm (1,0 ml/m²)</v>
      </c>
      <c r="C125" s="96" t="str">
        <f>IF(+P.U!C1067=0," ",P.U!C1067)</f>
        <v>ml</v>
      </c>
      <c r="D125" s="96">
        <f>IF(+P.U!D1067=0," ",P.U!D1067)</f>
        <v>1</v>
      </c>
      <c r="E125" s="185">
        <f>IF(+P.U!E1067=0," ",P.U!E1067)</f>
        <v>53</v>
      </c>
      <c r="F125" s="186">
        <f>IF(+P.U!F1067=0," ",P.U!F1067)</f>
        <v>53</v>
      </c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3.5" customHeight="1">
      <c r="A126" s="96">
        <f>IF(+P.U!A1068=0," ",P.U!A1068)</f>
        <v>6</v>
      </c>
      <c r="B126" s="213" t="str">
        <f>IF(+P.U!B1068=0," ",P.U!B1068)</f>
        <v>Masilla juntas 25 kg (0,35 kg/m²)</v>
      </c>
      <c r="C126" s="96" t="str">
        <f>IF(+P.U!C1068=0," ",P.U!C1068)</f>
        <v>kg</v>
      </c>
      <c r="D126" s="96">
        <f>IF(+P.U!D1068=0," ",P.U!D1068)</f>
        <v>0.35</v>
      </c>
      <c r="E126" s="185">
        <f>IF(+P.U!E1068=0," ",P.U!E1068)</f>
        <v>924</v>
      </c>
      <c r="F126" s="186">
        <f>IF(+P.U!F1068=0," ",P.U!F1068)</f>
        <v>323</v>
      </c>
    </row>
    <row r="127" ht="13.5" customHeight="1">
      <c r="A127" s="96">
        <f>IF(+P.U!A1069=0," ",P.U!A1069)</f>
        <v>7</v>
      </c>
      <c r="B127" s="213" t="str">
        <f>IF(+P.U!B1069=0," ",P.U!B1069)</f>
        <v>Consumibles y anclajes (prorrateo)</v>
      </c>
      <c r="C127" s="96" t="str">
        <f>IF(+P.U!C1069=0," ",P.U!C1069)</f>
        <v>gl</v>
      </c>
      <c r="D127" s="96">
        <f>IF(+P.U!D1069=0," ",P.U!D1069)</f>
        <v>1</v>
      </c>
      <c r="E127" s="185">
        <f>IF(+P.U!E1069=0," ",P.U!E1069)</f>
        <v>800</v>
      </c>
      <c r="F127" s="186">
        <f>IF(+P.U!F1069=0," ",P.U!F1069)</f>
        <v>800</v>
      </c>
    </row>
    <row r="128" ht="13.5" customHeight="1">
      <c r="A128" s="96" t="str">
        <f>IF(+P.U!A1070=0," ",P.U!A1070)</f>
        <v> </v>
      </c>
      <c r="B128" s="213"/>
      <c r="C128" s="96"/>
      <c r="D128" s="96"/>
      <c r="E128" s="96"/>
      <c r="F128" s="186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3.5" customHeight="1">
      <c r="A129" s="96" t="str">
        <f>IF(+P.U!A1071=0," ",P.U!A1071)</f>
        <v> </v>
      </c>
      <c r="B129" s="213" t="str">
        <f>IF(+P.U!B1070=0," ",P.U!B1070)</f>
        <v> </v>
      </c>
      <c r="C129" s="96" t="str">
        <f>IF(+P.U!C1070=0," ",P.U!C1070)</f>
        <v> </v>
      </c>
      <c r="D129" s="96" t="str">
        <f>IF(+P.U!D1070=0," ",P.U!D1070)</f>
        <v> </v>
      </c>
      <c r="E129" s="96" t="str">
        <f>IF(+P.U!E1070=0," ",P.U!E1070)</f>
        <v> </v>
      </c>
      <c r="F129" s="186" t="str">
        <f>IF(+P.U!F1070=0," ",P.U!F1070)</f>
        <v> </v>
      </c>
    </row>
    <row r="130" ht="13.5" customHeight="1">
      <c r="A130" s="178"/>
      <c r="B130" s="178"/>
      <c r="C130" s="121"/>
      <c r="D130" s="178"/>
      <c r="E130" s="216" t="s">
        <v>37</v>
      </c>
      <c r="F130" s="211">
        <f>+P.U!F1071</f>
        <v>5292</v>
      </c>
    </row>
    <row r="131" ht="13.5" customHeight="1">
      <c r="A131" s="27"/>
      <c r="B131" s="27"/>
      <c r="C131" s="27"/>
      <c r="D131" s="27"/>
      <c r="E131" s="27"/>
      <c r="F131" s="27"/>
    </row>
    <row r="132" ht="13.5" customHeight="1">
      <c r="A132" s="86"/>
      <c r="C132" s="27"/>
      <c r="D132" s="27"/>
      <c r="E132" s="27"/>
      <c r="F132" s="27"/>
    </row>
    <row r="133" ht="13.5" customHeight="1">
      <c r="A133" s="173" t="s">
        <v>106</v>
      </c>
      <c r="B133" s="129"/>
      <c r="C133" s="129"/>
      <c r="D133" s="129"/>
      <c r="E133" s="129"/>
      <c r="F133" s="129"/>
    </row>
    <row r="134" ht="13.5" customHeight="1">
      <c r="A134" s="88" t="s">
        <v>67</v>
      </c>
      <c r="B134" s="60" t="s">
        <v>68</v>
      </c>
      <c r="C134" s="60" t="s">
        <v>49</v>
      </c>
      <c r="D134" s="60" t="s">
        <v>70</v>
      </c>
      <c r="E134" s="60" t="s">
        <v>52</v>
      </c>
      <c r="F134" s="60" t="s">
        <v>71</v>
      </c>
    </row>
    <row r="135" ht="13.5" customHeight="1">
      <c r="A135" s="93"/>
      <c r="B135" s="70"/>
      <c r="C135" s="70"/>
      <c r="D135" s="70"/>
      <c r="E135" s="70" t="s">
        <v>56</v>
      </c>
      <c r="F135" s="70" t="s">
        <v>37</v>
      </c>
    </row>
    <row r="136" ht="13.5" customHeight="1">
      <c r="A136" s="176" t="str">
        <f>IF(P.U!A1075=0," ",P.U!A1075)</f>
        <v>1</v>
      </c>
      <c r="B136" s="176" t="str">
        <f>IF(P.U!B1075=0," ",P.U!B1075)</f>
        <v>Maestro</v>
      </c>
      <c r="C136" s="176" t="str">
        <f>IF(P.U!C1075=0," ",P.U!C1075)</f>
        <v>día</v>
      </c>
      <c r="D136" s="217">
        <f>IF(P.U!D1075=0," ",P.U!D1075)</f>
        <v>0.08</v>
      </c>
      <c r="E136" s="206">
        <f>IF(P.U!E1075=0," ",P.U!E1075)</f>
        <v>65000</v>
      </c>
      <c r="F136" s="207">
        <f>IF(P.U!F1075=0," ",P.U!F1075)</f>
        <v>5200</v>
      </c>
    </row>
    <row r="137" ht="13.5" customHeight="1">
      <c r="A137" s="176" t="str">
        <f>IF(P.U!A1076=0," ",P.U!A1076)</f>
        <v>2</v>
      </c>
      <c r="B137" s="176" t="str">
        <f>IF(P.U!B1076=0," ",P.U!B1076)</f>
        <v>Ayudante</v>
      </c>
      <c r="C137" s="176" t="str">
        <f>IF(P.U!C1076=0," ",P.U!C1076)</f>
        <v>día</v>
      </c>
      <c r="D137" s="217">
        <f>IF(P.U!D1076=0," ",P.U!D1076)</f>
        <v>0.08</v>
      </c>
      <c r="E137" s="206">
        <f>IF(P.U!E1076=0," ",P.U!E1076)</f>
        <v>50000</v>
      </c>
      <c r="F137" s="207">
        <f>IF(P.U!F1076=0," ",P.U!F1076)</f>
        <v>4000</v>
      </c>
    </row>
    <row r="138" ht="13.5" customHeight="1">
      <c r="A138" s="176" t="str">
        <f>IF(P.U!A1077=0," ",P.U!A1077)</f>
        <v> </v>
      </c>
      <c r="B138" s="176" t="str">
        <f>IF(P.U!B1077=0," ",P.U!B1077)</f>
        <v> </v>
      </c>
      <c r="C138" s="176" t="str">
        <f>IF(P.U!C1077=0," ",P.U!C1077)</f>
        <v> </v>
      </c>
      <c r="D138" s="176" t="str">
        <f>IF(P.U!D1077=0," ",P.U!D1077)</f>
        <v> </v>
      </c>
      <c r="E138" s="176"/>
      <c r="F138" s="207"/>
    </row>
    <row r="139" ht="13.5" customHeight="1">
      <c r="A139" s="176"/>
      <c r="B139" s="200"/>
      <c r="C139" s="70"/>
      <c r="D139" s="200"/>
      <c r="E139" s="177"/>
      <c r="F139" s="209"/>
    </row>
    <row r="140" ht="13.5" customHeight="1">
      <c r="A140" s="178"/>
      <c r="B140" s="86"/>
      <c r="C140" s="81"/>
      <c r="D140" s="86"/>
      <c r="E140" s="218" t="s">
        <v>121</v>
      </c>
      <c r="F140" s="209">
        <f>+P.U!F1077</f>
        <v>9200</v>
      </c>
    </row>
    <row r="141" ht="13.5" customHeight="1">
      <c r="A141" s="219"/>
      <c r="B141" s="202" t="s">
        <v>123</v>
      </c>
      <c r="C141" s="169" t="s">
        <v>124</v>
      </c>
      <c r="D141" s="220"/>
      <c r="E141" s="188"/>
      <c r="F141" s="221">
        <f>+P.U!F1078</f>
        <v>4600</v>
      </c>
    </row>
    <row r="142" ht="13.5" customHeight="1">
      <c r="A142" s="27"/>
      <c r="B142" s="27"/>
      <c r="C142" s="27"/>
      <c r="D142" s="27"/>
      <c r="E142" s="27"/>
      <c r="F142" s="222">
        <f>+P.U!F1079</f>
        <v>13800</v>
      </c>
    </row>
    <row r="143" ht="13.5" customHeight="1">
      <c r="A143" s="27"/>
      <c r="B143" s="27"/>
      <c r="C143" s="27"/>
      <c r="D143" s="27"/>
      <c r="E143" s="27"/>
      <c r="F143" s="27"/>
    </row>
    <row r="144" ht="13.5" customHeight="1">
      <c r="A144" s="27"/>
      <c r="B144" s="27"/>
      <c r="C144" s="27"/>
      <c r="D144" s="27"/>
      <c r="E144" s="27"/>
      <c r="F144" s="27"/>
    </row>
    <row r="145" ht="13.5" customHeight="1">
      <c r="A145" s="173" t="s">
        <v>128</v>
      </c>
      <c r="B145" s="129"/>
      <c r="C145" s="192"/>
      <c r="D145" s="192"/>
      <c r="E145" s="192"/>
      <c r="F145" s="192"/>
    </row>
    <row r="146" ht="13.5" customHeight="1">
      <c r="A146" s="88" t="s">
        <v>67</v>
      </c>
      <c r="B146" s="60" t="s">
        <v>68</v>
      </c>
      <c r="C146" s="60" t="s">
        <v>49</v>
      </c>
      <c r="D146" s="60" t="s">
        <v>70</v>
      </c>
      <c r="E146" s="60" t="s">
        <v>52</v>
      </c>
      <c r="F146" s="60" t="s">
        <v>71</v>
      </c>
    </row>
    <row r="147" ht="13.5" customHeight="1">
      <c r="A147" s="93"/>
      <c r="B147" s="70"/>
      <c r="C147" s="70"/>
      <c r="D147" s="70"/>
      <c r="E147" s="70" t="s">
        <v>56</v>
      </c>
      <c r="F147" s="70" t="s">
        <v>37</v>
      </c>
    </row>
    <row r="148" ht="13.5" customHeight="1">
      <c r="A148" s="176" t="str">
        <f>IF(+P.U!A1083=0," ",P.U!A1083)</f>
        <v>1</v>
      </c>
      <c r="B148" s="176" t="str">
        <f>IF(+P.U!B1083=0," ",P.U!B1083)</f>
        <v>Desagaste herramientas</v>
      </c>
      <c r="C148" s="176" t="str">
        <f>IF(+P.U!C1083=0," ",P.U!C1083)</f>
        <v>día</v>
      </c>
      <c r="D148" s="223">
        <f>IF(+P.U!D1083=0," ",P.U!D1083)</f>
        <v>0.02</v>
      </c>
      <c r="E148" s="206">
        <f>IF(+P.U!E1083=0," ",P.U!E1083)</f>
        <v>45000</v>
      </c>
      <c r="F148" s="207">
        <f>IF(+P.U!F1083=0," ",P.U!F1083)</f>
        <v>900</v>
      </c>
    </row>
    <row r="149" ht="13.5" customHeight="1">
      <c r="A149" s="176" t="str">
        <f>IF(+P.U!A1084=0," ",P.U!A1084)</f>
        <v> </v>
      </c>
      <c r="B149" s="176" t="str">
        <f>IF(+P.U!B1084=0," ",P.U!B1084)</f>
        <v> </v>
      </c>
      <c r="C149" s="176" t="str">
        <f>IF(+P.U!C1084=0," ",P.U!C1084)</f>
        <v> </v>
      </c>
      <c r="D149" s="176" t="str">
        <f>IF(+P.U!D1084=0," ",P.U!D1084)</f>
        <v> </v>
      </c>
      <c r="E149" s="206" t="str">
        <f>IF(+P.U!E1084=0," ",P.U!E1084)</f>
        <v> </v>
      </c>
      <c r="F149" s="207" t="str">
        <f>IF(+P.U!F1084=0," ",P.U!F1084)</f>
        <v> </v>
      </c>
    </row>
    <row r="150" ht="13.5" customHeight="1">
      <c r="A150" s="176"/>
      <c r="B150" s="177"/>
      <c r="C150" s="159"/>
      <c r="D150" s="177"/>
      <c r="E150" s="208"/>
      <c r="F150" s="209"/>
    </row>
    <row r="151" ht="13.5" customHeight="1">
      <c r="A151" s="176"/>
      <c r="B151" s="177"/>
      <c r="C151" s="159"/>
      <c r="D151" s="177"/>
      <c r="E151" s="208"/>
      <c r="F151" s="209"/>
    </row>
    <row r="152" ht="13.5" customHeight="1">
      <c r="A152" s="178"/>
      <c r="B152" s="178"/>
      <c r="C152" s="121"/>
      <c r="D152" s="178"/>
      <c r="E152" s="216" t="s">
        <v>37</v>
      </c>
      <c r="F152" s="211">
        <f>+P.U!F1085</f>
        <v>900</v>
      </c>
    </row>
    <row r="153" ht="13.5" customHeight="1">
      <c r="A153" s="27"/>
      <c r="B153" s="27"/>
      <c r="C153" s="27"/>
      <c r="D153" s="27"/>
      <c r="E153" s="27"/>
      <c r="F153" s="27"/>
    </row>
    <row r="154" ht="13.5" customHeight="1">
      <c r="A154" s="27"/>
      <c r="B154" s="27"/>
      <c r="C154" s="27"/>
      <c r="D154" s="27"/>
      <c r="E154" s="27"/>
      <c r="F154" s="27"/>
    </row>
    <row r="155" ht="13.5" customHeight="1">
      <c r="A155" s="27"/>
      <c r="B155" s="27"/>
      <c r="C155" s="27"/>
      <c r="D155" s="27"/>
      <c r="E155" s="27"/>
      <c r="F155" s="27"/>
    </row>
    <row r="156" ht="13.5" customHeight="1">
      <c r="A156" s="27"/>
      <c r="B156" s="179" t="s">
        <v>143</v>
      </c>
      <c r="C156" s="27"/>
      <c r="D156" s="27"/>
      <c r="E156" s="27"/>
      <c r="F156" s="27"/>
    </row>
    <row r="157" ht="13.5" customHeight="1">
      <c r="A157" s="27"/>
      <c r="B157" s="179" t="s">
        <v>145</v>
      </c>
      <c r="C157" s="180"/>
      <c r="D157" s="27"/>
      <c r="E157" s="27"/>
      <c r="F157" s="27"/>
    </row>
    <row r="158" ht="13.5" customHeight="1">
      <c r="A158" s="27"/>
      <c r="B158" s="179" t="s">
        <v>146</v>
      </c>
      <c r="C158" s="180"/>
      <c r="D158" s="27"/>
      <c r="E158" s="27"/>
      <c r="F158" s="27"/>
    </row>
    <row r="159" ht="13.5" customHeight="1">
      <c r="A159" s="20"/>
      <c r="B159" s="179" t="s">
        <v>147</v>
      </c>
      <c r="C159" s="20"/>
      <c r="D159" s="20"/>
      <c r="E159" s="20"/>
      <c r="F159" s="20"/>
    </row>
    <row r="160" ht="13.5" customHeight="1"/>
    <row r="161" ht="13.5" customHeight="1">
      <c r="A161" s="15" t="s">
        <v>12</v>
      </c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3.5" customHeight="1">
      <c r="A162" s="27"/>
      <c r="B162" s="27"/>
      <c r="C162" s="27"/>
      <c r="D162" s="27"/>
      <c r="E162" s="27"/>
      <c r="F162" s="27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3.5" customHeight="1">
      <c r="A163" s="25" t="s">
        <v>24</v>
      </c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3.5" customHeight="1">
      <c r="A164" s="25"/>
      <c r="B164" s="25"/>
      <c r="C164" s="25"/>
      <c r="D164" s="25"/>
      <c r="E164" s="25"/>
      <c r="F164" s="25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3.5" customHeight="1">
      <c r="A165" s="39" t="s">
        <v>31</v>
      </c>
      <c r="B165" s="34"/>
      <c r="C165" s="34"/>
      <c r="D165" s="34"/>
      <c r="E165" s="34"/>
      <c r="F165" s="36"/>
      <c r="G165" s="20"/>
    </row>
    <row r="166" ht="13.5" customHeight="1">
      <c r="A166" s="39" t="s">
        <v>38</v>
      </c>
      <c r="B166" s="34"/>
      <c r="C166" s="34"/>
      <c r="D166" s="34"/>
      <c r="E166" s="34"/>
      <c r="F166" s="36"/>
      <c r="G166" s="20"/>
    </row>
    <row r="167" ht="13.5" customHeight="1">
      <c r="A167" s="78"/>
      <c r="B167" s="78"/>
      <c r="C167" s="78"/>
      <c r="D167" s="78"/>
      <c r="E167" s="78"/>
      <c r="F167" s="78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3.5" customHeight="1">
      <c r="A168" s="27"/>
      <c r="B168" s="27"/>
      <c r="C168" s="27"/>
      <c r="D168" s="27"/>
      <c r="E168" s="27"/>
      <c r="F168" s="27"/>
      <c r="G168" s="20"/>
    </row>
    <row r="169" ht="13.5" customHeight="1">
      <c r="A169" s="27"/>
      <c r="B169" s="27"/>
      <c r="C169" s="27"/>
      <c r="D169" s="27"/>
      <c r="E169" s="27"/>
      <c r="F169" s="27"/>
      <c r="G169" s="20"/>
    </row>
    <row r="170" ht="13.5" customHeight="1">
      <c r="A170" s="50" t="s">
        <v>46</v>
      </c>
      <c r="B170" s="51" t="s">
        <v>298</v>
      </c>
      <c r="C170" s="54" t="s">
        <v>299</v>
      </c>
      <c r="D170" s="57" t="s">
        <v>49</v>
      </c>
      <c r="E170" s="58"/>
      <c r="F170" s="60" t="s">
        <v>52</v>
      </c>
      <c r="G170" s="20"/>
    </row>
    <row r="171" ht="13.5" customHeight="1">
      <c r="A171" s="62"/>
      <c r="B171" s="64"/>
      <c r="C171" s="67" t="str">
        <f>+P.U!A1148</f>
        <v>2.4.3 </v>
      </c>
      <c r="D171" s="68" t="str">
        <f>+P.U!B1146</f>
        <v>m²</v>
      </c>
      <c r="E171" s="69"/>
      <c r="F171" s="70" t="s">
        <v>56</v>
      </c>
      <c r="G171" s="20"/>
    </row>
    <row r="172" ht="13.5" customHeight="1">
      <c r="A172" s="71" t="s">
        <v>58</v>
      </c>
      <c r="B172" s="73"/>
      <c r="C172" s="73"/>
      <c r="D172" s="75"/>
      <c r="E172" s="70"/>
      <c r="F172" s="76">
        <f>+P.U!F1174</f>
        <v>25321</v>
      </c>
      <c r="G172" s="20"/>
    </row>
    <row r="173" ht="13.5" customHeight="1">
      <c r="A173" s="78"/>
      <c r="B173" s="78"/>
      <c r="C173" s="78"/>
      <c r="D173" s="78"/>
      <c r="E173" s="27"/>
      <c r="F173" s="81"/>
      <c r="G173" s="20"/>
    </row>
    <row r="174" ht="13.5" customHeight="1">
      <c r="A174" s="86" t="s">
        <v>66</v>
      </c>
      <c r="B174" s="27"/>
      <c r="C174" s="27"/>
      <c r="D174" s="27"/>
      <c r="E174" s="27"/>
      <c r="F174" s="27"/>
      <c r="G174" s="20"/>
    </row>
    <row r="175" ht="13.5" customHeight="1">
      <c r="A175" s="88" t="s">
        <v>67</v>
      </c>
      <c r="B175" s="60" t="s">
        <v>68</v>
      </c>
      <c r="C175" s="60" t="s">
        <v>49</v>
      </c>
      <c r="D175" s="60" t="s">
        <v>70</v>
      </c>
      <c r="E175" s="60" t="s">
        <v>52</v>
      </c>
      <c r="F175" s="60" t="s">
        <v>71</v>
      </c>
      <c r="G175" s="20"/>
    </row>
    <row r="176" ht="13.5" customHeight="1">
      <c r="A176" s="93"/>
      <c r="B176" s="70"/>
      <c r="C176" s="70"/>
      <c r="D176" s="70"/>
      <c r="E176" s="70" t="s">
        <v>56</v>
      </c>
      <c r="F176" s="70" t="s">
        <v>37</v>
      </c>
      <c r="G176" s="20"/>
    </row>
    <row r="177" ht="13.5" customHeight="1">
      <c r="A177" s="183">
        <f>IF(+P.U!A1151=0," ",P.U!A1151)</f>
        <v>1</v>
      </c>
      <c r="B177" s="183" t="str">
        <f>IF(+P.U!B1151=0," ",P.U!B1151)</f>
        <v>Panel arquitectónico liso 200 mm Villalba</v>
      </c>
      <c r="C177" s="183" t="str">
        <f>IF(+P.U!C1151=0," ",P.U!C1151)</f>
        <v>m²</v>
      </c>
      <c r="D177" s="183">
        <f>IF(+P.U!D1151=0," ",P.U!D1151)</f>
        <v>1</v>
      </c>
      <c r="E177" s="228">
        <f>IF(+P.U!E1151=0," ",P.U!E1151)</f>
        <v>12500</v>
      </c>
      <c r="F177" s="229">
        <f>IF(+P.U!F1151=0," ",P.U!F1151)</f>
        <v>12500</v>
      </c>
      <c r="G177" s="20"/>
    </row>
    <row r="178" ht="13.5" customHeight="1">
      <c r="A178" s="183">
        <f>IF(+P.U!A1152=0," ",P.U!A1152)</f>
        <v>2</v>
      </c>
      <c r="B178" s="183" t="str">
        <f>IF(+P.U!B1152=0," ",P.U!B1152)</f>
        <v>Perfil Omega soporte (1,667 ml/m²)</v>
      </c>
      <c r="C178" s="183" t="str">
        <f>IF(+P.U!C1152=0," ",P.U!C1152)</f>
        <v>ml</v>
      </c>
      <c r="D178" s="183">
        <f>IF(+P.U!D1152=0," ",P.U!D1152)</f>
        <v>1.67</v>
      </c>
      <c r="E178" s="228">
        <f>IF(+P.U!E1152=0," ",P.U!E1152)</f>
        <v>529</v>
      </c>
      <c r="F178" s="229">
        <f>IF(+P.U!F1152=0," ",P.U!F1152)</f>
        <v>883</v>
      </c>
      <c r="G178" s="20"/>
    </row>
    <row r="179" ht="13.5" customHeight="1">
      <c r="A179" s="183">
        <f>IF(+P.U!A1153=0," ",P.U!A1153)</f>
        <v>3</v>
      </c>
      <c r="B179" s="183" t="str">
        <f>IF(+P.U!B1153=0," ",P.U!B1153)</f>
        <v>Canal perimetral 20x25 (0,20 ml/m²)</v>
      </c>
      <c r="C179" s="183" t="str">
        <f>IF(+P.U!C1153=0," ",P.U!C1153)</f>
        <v>ml</v>
      </c>
      <c r="D179" s="183">
        <f>IF(+P.U!D1153=0," ",P.U!D1153)</f>
        <v>0.2</v>
      </c>
      <c r="E179" s="228">
        <f>IF(+P.U!E1153=0," ",P.U!E1153)</f>
        <v>417</v>
      </c>
      <c r="F179" s="229">
        <f>IF(+P.U!F1153=0," ",P.U!F1153)</f>
        <v>83</v>
      </c>
      <c r="G179" s="20"/>
    </row>
    <row r="180" ht="13.5" customHeight="1">
      <c r="A180" s="183">
        <f>IF(+P.U!A1154=0," ",P.U!A1154)</f>
        <v>4</v>
      </c>
      <c r="B180" s="183" t="str">
        <f>IF(+P.U!B1154=0," ",P.U!B1154)</f>
        <v>Tornillos autoperforantes (10 u/m²)</v>
      </c>
      <c r="C180" s="183" t="str">
        <f>IF(+P.U!C1154=0," ",P.U!C1154)</f>
        <v>un</v>
      </c>
      <c r="D180" s="183">
        <f>IF(+P.U!D1154=0," ",P.U!D1154)</f>
        <v>10</v>
      </c>
      <c r="E180" s="228">
        <f>IF(+P.U!E1154=0," ",P.U!E1154)</f>
        <v>8</v>
      </c>
      <c r="F180" s="229">
        <f>IF(+P.U!F1154=0," ",P.U!F1154)</f>
        <v>80</v>
      </c>
      <c r="G180" s="20"/>
    </row>
    <row r="181" ht="13.5" customHeight="1">
      <c r="A181" s="183">
        <f>IF(+P.U!A1155=0," ",P.U!A1155)</f>
        <v>5</v>
      </c>
      <c r="B181" s="183" t="str">
        <f>IF(+P.U!B1155=0," ",P.U!B1155)</f>
        <v>Accesorios y consumibles (prorrateo)</v>
      </c>
      <c r="C181" s="183" t="str">
        <f>IF(+P.U!C1155=0," ",P.U!C1155)</f>
        <v>gl</v>
      </c>
      <c r="D181" s="183">
        <f>IF(+P.U!D1155=0," ",P.U!D1155)</f>
        <v>1</v>
      </c>
      <c r="E181" s="228">
        <f>IF(+P.U!E1155=0," ",P.U!E1155)</f>
        <v>900</v>
      </c>
      <c r="F181" s="229">
        <f>IF(+P.U!F1155=0," ",P.U!F1155)</f>
        <v>900</v>
      </c>
      <c r="G181" s="20"/>
    </row>
    <row r="182" ht="13.5" customHeight="1">
      <c r="A182" s="183" t="str">
        <f>IF(+P.U!A1156=0," ",P.U!A1156)</f>
        <v> </v>
      </c>
      <c r="B182" s="183" t="str">
        <f>IF(+P.U!B1156=0," ",P.U!B1156)</f>
        <v> </v>
      </c>
      <c r="C182" s="183" t="str">
        <f>IF(+P.U!C1156=0," ",P.U!C1156)</f>
        <v> </v>
      </c>
      <c r="D182" s="183" t="str">
        <f>IF(+P.U!D1156=0," ",P.U!D1156)</f>
        <v> </v>
      </c>
      <c r="E182" s="228"/>
      <c r="F182" s="23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3.5" customHeight="1">
      <c r="A183" s="178"/>
      <c r="B183" s="178"/>
      <c r="C183" s="121"/>
      <c r="D183" s="178"/>
      <c r="E183" s="210" t="s">
        <v>37</v>
      </c>
      <c r="F183" s="211">
        <f>+P.U!F1156</f>
        <v>14446</v>
      </c>
      <c r="G183" s="20"/>
    </row>
    <row r="184" ht="13.5" customHeight="1">
      <c r="A184" s="178"/>
      <c r="B184" s="178"/>
      <c r="C184" s="121"/>
      <c r="D184" s="178"/>
      <c r="E184" s="231"/>
      <c r="F184" s="232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3.5" customHeight="1">
      <c r="A185" s="178"/>
      <c r="B185" s="178"/>
      <c r="C185" s="121"/>
      <c r="D185" s="178"/>
      <c r="E185" s="231"/>
      <c r="F185" s="232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3.5" customHeight="1">
      <c r="A186" s="27"/>
      <c r="B186" s="27"/>
      <c r="C186" s="27"/>
      <c r="D186" s="27"/>
      <c r="E186" s="27"/>
      <c r="F186" s="233"/>
      <c r="G186" s="20"/>
    </row>
    <row r="187" ht="13.5" customHeight="1">
      <c r="A187" s="86"/>
      <c r="C187" s="27"/>
      <c r="D187" s="27"/>
      <c r="E187" s="27"/>
      <c r="F187" s="233"/>
      <c r="G187" s="20"/>
    </row>
    <row r="188" ht="13.5" customHeight="1">
      <c r="A188" s="173" t="s">
        <v>106</v>
      </c>
      <c r="B188" s="129"/>
      <c r="C188" s="129"/>
      <c r="D188" s="129"/>
      <c r="E188" s="129"/>
      <c r="F188" s="129"/>
      <c r="G188" s="20"/>
    </row>
    <row r="189" ht="13.5" customHeight="1">
      <c r="A189" s="88" t="s">
        <v>67</v>
      </c>
      <c r="B189" s="60" t="s">
        <v>68</v>
      </c>
      <c r="C189" s="60" t="s">
        <v>49</v>
      </c>
      <c r="D189" s="60" t="s">
        <v>70</v>
      </c>
      <c r="E189" s="60" t="s">
        <v>52</v>
      </c>
      <c r="F189" s="234" t="s">
        <v>71</v>
      </c>
      <c r="G189" s="20"/>
    </row>
    <row r="190" ht="13.5" customHeight="1">
      <c r="A190" s="93"/>
      <c r="B190" s="70"/>
      <c r="C190" s="70"/>
      <c r="D190" s="70"/>
      <c r="E190" s="70" t="s">
        <v>56</v>
      </c>
      <c r="F190" s="235" t="s">
        <v>37</v>
      </c>
      <c r="G190" s="20"/>
    </row>
    <row r="191" ht="13.5" customHeight="1">
      <c r="A191" s="176" t="str">
        <f>IF(+P.U!A1160=0," ",P.U!A1160)</f>
        <v>1</v>
      </c>
      <c r="B191" s="176" t="str">
        <f>IF(+P.U!B1160=0," ",P.U!B1160)</f>
        <v>Maestro</v>
      </c>
      <c r="C191" s="176" t="str">
        <f>IF(+P.U!C1160=0," ",P.U!C1160)</f>
        <v>día</v>
      </c>
      <c r="D191" s="217">
        <f>IF(+P.U!D1160=0," ",P.U!D1160)</f>
        <v>0.05</v>
      </c>
      <c r="E191" s="206">
        <f>IF(+P.U!E1160=0," ",P.U!E1160)</f>
        <v>65000</v>
      </c>
      <c r="F191" s="207">
        <f>IF(+P.U!F1160=0," ",P.U!F1160)</f>
        <v>3250</v>
      </c>
      <c r="G191" s="20"/>
    </row>
    <row r="192" ht="13.5" customHeight="1">
      <c r="A192" s="176" t="str">
        <f>IF(+P.U!A1161=0," ",P.U!A1161)</f>
        <v>2</v>
      </c>
      <c r="B192" s="176" t="str">
        <f>IF(+P.U!B1161=0," ",P.U!B1161)</f>
        <v>Ayudante</v>
      </c>
      <c r="C192" s="176" t="str">
        <f>IF(+P.U!C1161=0," ",P.U!C1161)</f>
        <v>día</v>
      </c>
      <c r="D192" s="217">
        <f>IF(+P.U!D1161=0," ",P.U!D1161)</f>
        <v>0.05</v>
      </c>
      <c r="E192" s="206">
        <f>IF(+P.U!E1161=0," ",P.U!E1161)</f>
        <v>50000</v>
      </c>
      <c r="F192" s="207">
        <f>IF(+P.U!F1161=0," ",P.U!F1161)</f>
        <v>2500</v>
      </c>
      <c r="G192" s="20"/>
    </row>
    <row r="193" ht="13.5" customHeight="1">
      <c r="A193" s="176" t="str">
        <f>IF(+P.U!A1162=0," ",P.U!A1162)</f>
        <v> </v>
      </c>
      <c r="B193" s="176" t="str">
        <f>IF(+P.U!B1162=0," ",P.U!B1162)</f>
        <v> </v>
      </c>
      <c r="C193" s="176" t="str">
        <f>IF(+P.U!C1162=0," ",P.U!C1162)</f>
        <v> </v>
      </c>
      <c r="D193" s="176" t="str">
        <f>IF(+P.U!D1162=0," ",P.U!D1162)</f>
        <v> </v>
      </c>
      <c r="E193" s="206"/>
      <c r="F193" s="207"/>
      <c r="G193" s="20"/>
    </row>
    <row r="194" ht="13.5" customHeight="1">
      <c r="A194" s="176"/>
      <c r="B194" s="200"/>
      <c r="C194" s="70"/>
      <c r="D194" s="200"/>
      <c r="E194" s="208"/>
      <c r="F194" s="209"/>
      <c r="G194" s="20"/>
    </row>
    <row r="195" ht="13.5" customHeight="1">
      <c r="A195" s="178"/>
      <c r="B195" s="86"/>
      <c r="C195" s="81"/>
      <c r="D195" s="86"/>
      <c r="E195" s="237" t="s">
        <v>121</v>
      </c>
      <c r="F195" s="209">
        <f>+P.U!F1162</f>
        <v>5750</v>
      </c>
      <c r="G195" s="20"/>
    </row>
    <row r="196" ht="13.5" customHeight="1">
      <c r="A196" s="219"/>
      <c r="B196" s="202" t="s">
        <v>123</v>
      </c>
      <c r="C196" s="169" t="s">
        <v>124</v>
      </c>
      <c r="D196" s="220"/>
      <c r="E196" s="238"/>
      <c r="F196" s="221">
        <f>+P.U!F1163</f>
        <v>2875</v>
      </c>
      <c r="G196" s="20"/>
    </row>
    <row r="197" ht="13.5" customHeight="1">
      <c r="A197" s="27"/>
      <c r="B197" s="27"/>
      <c r="C197" s="27"/>
      <c r="D197" s="27"/>
      <c r="E197" s="210" t="s">
        <v>60</v>
      </c>
      <c r="F197" s="222">
        <f>+P.U!F1164</f>
        <v>8625</v>
      </c>
      <c r="G197" s="20"/>
    </row>
    <row r="198" ht="13.5" customHeight="1">
      <c r="A198" s="27"/>
      <c r="B198" s="27"/>
      <c r="C198" s="27"/>
      <c r="D198" s="27"/>
      <c r="E198" s="27"/>
      <c r="F198" s="27"/>
      <c r="G198" s="20"/>
    </row>
    <row r="199" ht="13.5" customHeight="1">
      <c r="A199" s="27"/>
      <c r="B199" s="27"/>
      <c r="C199" s="27"/>
      <c r="D199" s="27"/>
      <c r="E199" s="27"/>
      <c r="F199" s="27"/>
      <c r="G199" s="20"/>
    </row>
    <row r="200" ht="13.5" customHeight="1">
      <c r="A200" s="86"/>
      <c r="C200" s="27"/>
      <c r="D200" s="27"/>
      <c r="E200" s="27"/>
      <c r="F200" s="27"/>
      <c r="G200" s="20"/>
    </row>
    <row r="201" ht="13.5" customHeight="1">
      <c r="A201" s="173" t="s">
        <v>128</v>
      </c>
      <c r="B201" s="129"/>
      <c r="C201" s="129"/>
      <c r="D201" s="129"/>
      <c r="E201" s="129"/>
      <c r="F201" s="129"/>
      <c r="G201" s="20"/>
    </row>
    <row r="202" ht="13.5" customHeight="1">
      <c r="A202" s="88" t="s">
        <v>67</v>
      </c>
      <c r="B202" s="60" t="s">
        <v>68</v>
      </c>
      <c r="C202" s="60" t="s">
        <v>49</v>
      </c>
      <c r="D202" s="60" t="s">
        <v>70</v>
      </c>
      <c r="E202" s="60" t="s">
        <v>52</v>
      </c>
      <c r="F202" s="60" t="s">
        <v>71</v>
      </c>
      <c r="G202" s="20"/>
    </row>
    <row r="203" ht="13.5" customHeight="1">
      <c r="A203" s="93"/>
      <c r="B203" s="70"/>
      <c r="C203" s="70"/>
      <c r="D203" s="70"/>
      <c r="E203" s="70" t="s">
        <v>56</v>
      </c>
      <c r="F203" s="70" t="s">
        <v>37</v>
      </c>
      <c r="G203" s="20"/>
    </row>
    <row r="204" ht="13.5" customHeight="1">
      <c r="A204" s="176" t="str">
        <f>IF(+P.U!A1168=0," ",P.U!A1168)</f>
        <v>1</v>
      </c>
      <c r="B204" s="176" t="str">
        <f>IF(+P.U!B1168=0," ",P.U!B1168)</f>
        <v>Desagaste herramientas</v>
      </c>
      <c r="C204" s="176" t="str">
        <f>IF(+P.U!C1168=0," ",P.U!C1168)</f>
        <v>día</v>
      </c>
      <c r="D204" s="223">
        <f>IF(+P.U!D1168=0," ",P.U!D1168)</f>
        <v>0.05</v>
      </c>
      <c r="E204" s="206">
        <f>IF(+P.U!E1168=0," ",P.U!E1168)</f>
        <v>45000</v>
      </c>
      <c r="F204" s="207">
        <f>IF(+P.U!F1168=0," ",P.U!F1168)</f>
        <v>2250</v>
      </c>
      <c r="G204" s="20"/>
    </row>
    <row r="205" ht="13.5" customHeight="1">
      <c r="A205" s="176" t="str">
        <f>IF(+P.U!A1169=0," ",P.U!A1169)</f>
        <v> </v>
      </c>
      <c r="B205" s="176" t="str">
        <f>IF(+P.U!B1169=0," ",P.U!B1169)</f>
        <v> </v>
      </c>
      <c r="C205" s="176" t="str">
        <f>IF(+P.U!C1169=0," ",P.U!C1169)</f>
        <v> </v>
      </c>
      <c r="D205" s="176" t="str">
        <f>IF(+P.U!D1169=0," ",P.U!D1169)</f>
        <v> </v>
      </c>
      <c r="E205" s="206" t="str">
        <f>IF(+P.U!E1169=0," ",P.U!E1169)</f>
        <v> </v>
      </c>
      <c r="F205" s="207" t="str">
        <f>IF(+P.U!F1169=0," ",P.U!F1169)</f>
        <v> </v>
      </c>
      <c r="G205" s="20"/>
    </row>
    <row r="206" ht="13.5" customHeight="1">
      <c r="A206" s="176"/>
      <c r="B206" s="177"/>
      <c r="C206" s="159"/>
      <c r="D206" s="177"/>
      <c r="E206" s="208"/>
      <c r="F206" s="209"/>
      <c r="G206" s="20"/>
    </row>
    <row r="207" ht="13.5" customHeight="1">
      <c r="A207" s="176"/>
      <c r="B207" s="177"/>
      <c r="C207" s="159"/>
      <c r="D207" s="177"/>
      <c r="E207" s="208"/>
      <c r="F207" s="209"/>
      <c r="G207" s="20"/>
    </row>
    <row r="208" ht="13.5" customHeight="1">
      <c r="A208" s="178"/>
      <c r="B208" s="178"/>
      <c r="C208" s="121"/>
      <c r="D208" s="178"/>
      <c r="E208" s="210" t="s">
        <v>37</v>
      </c>
      <c r="F208" s="211">
        <f>+P.U!F1170</f>
        <v>2250</v>
      </c>
      <c r="G208" s="20"/>
    </row>
    <row r="209" ht="13.5" customHeight="1">
      <c r="A209" s="27"/>
      <c r="B209" s="27"/>
      <c r="C209" s="27"/>
      <c r="D209" s="27"/>
      <c r="E209" s="27"/>
      <c r="F209" s="27"/>
      <c r="G209" s="20"/>
    </row>
    <row r="210" ht="13.5" customHeight="1">
      <c r="A210" s="27"/>
      <c r="B210" s="27"/>
      <c r="C210" s="27"/>
      <c r="D210" s="27"/>
      <c r="E210" s="27"/>
      <c r="F210" s="27"/>
      <c r="G210" s="20"/>
    </row>
    <row r="211" ht="13.5" customHeight="1">
      <c r="A211" s="27"/>
      <c r="B211" s="27"/>
      <c r="C211" s="27"/>
      <c r="D211" s="27"/>
      <c r="E211" s="27"/>
      <c r="F211" s="27"/>
      <c r="G211" s="20"/>
    </row>
    <row r="212" ht="13.5" customHeight="1">
      <c r="A212" s="27"/>
      <c r="B212" s="179" t="s">
        <v>143</v>
      </c>
      <c r="C212" s="27"/>
      <c r="D212" s="27"/>
      <c r="E212" s="27"/>
      <c r="F212" s="27"/>
      <c r="G212" s="20"/>
    </row>
    <row r="213" ht="13.5" customHeight="1">
      <c r="A213" s="27"/>
      <c r="B213" s="179" t="s">
        <v>145</v>
      </c>
      <c r="C213" s="180"/>
      <c r="D213" s="27"/>
      <c r="E213" s="27"/>
      <c r="F213" s="27"/>
      <c r="G213" s="20"/>
    </row>
    <row r="214" ht="13.5" customHeight="1">
      <c r="A214" s="27"/>
      <c r="B214" s="179" t="s">
        <v>146</v>
      </c>
      <c r="C214" s="180"/>
      <c r="D214" s="27"/>
      <c r="E214" s="27"/>
      <c r="F214" s="27"/>
      <c r="G214" s="20"/>
    </row>
    <row r="215" ht="13.5" customHeight="1">
      <c r="B215" s="179" t="s">
        <v>147</v>
      </c>
    </row>
    <row r="216" ht="13.5" customHeight="1"/>
    <row r="217" ht="13.5" customHeight="1"/>
    <row r="218" ht="13.5" customHeight="1">
      <c r="A218" s="15" t="s">
        <v>12</v>
      </c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3.5" customHeight="1">
      <c r="A219" s="27"/>
      <c r="B219" s="27"/>
      <c r="C219" s="27"/>
      <c r="D219" s="27"/>
      <c r="E219" s="27"/>
      <c r="F219" s="27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3.5" customHeight="1">
      <c r="A220" s="25" t="s">
        <v>24</v>
      </c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3.5" customHeight="1">
      <c r="A221" s="25"/>
      <c r="B221" s="25"/>
      <c r="C221" s="25"/>
      <c r="D221" s="25"/>
      <c r="E221" s="25"/>
      <c r="F221" s="25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45.0" customHeight="1">
      <c r="A222" s="31" t="s">
        <v>26</v>
      </c>
      <c r="B222" s="34"/>
      <c r="C222" s="34"/>
      <c r="D222" s="34"/>
      <c r="E222" s="34"/>
      <c r="F222" s="36"/>
      <c r="G222" s="20"/>
      <c r="H222" s="20"/>
      <c r="I222" s="20"/>
    </row>
    <row r="223" ht="13.5" customHeight="1">
      <c r="A223" s="39" t="s">
        <v>31</v>
      </c>
      <c r="B223" s="34"/>
      <c r="C223" s="34"/>
      <c r="D223" s="34"/>
      <c r="E223" s="34"/>
      <c r="F223" s="36"/>
      <c r="G223" s="20"/>
      <c r="H223" s="20"/>
      <c r="I223" s="20"/>
    </row>
    <row r="224" ht="13.5" customHeight="1">
      <c r="A224" s="39" t="s">
        <v>38</v>
      </c>
      <c r="B224" s="34"/>
      <c r="C224" s="34"/>
      <c r="D224" s="34"/>
      <c r="E224" s="34"/>
      <c r="F224" s="36"/>
      <c r="G224" s="20"/>
      <c r="H224" s="20"/>
      <c r="I224" s="20"/>
    </row>
    <row r="225" ht="13.5" customHeight="1">
      <c r="A225" s="27"/>
      <c r="B225" s="27"/>
      <c r="C225" s="27"/>
      <c r="D225" s="27"/>
      <c r="E225" s="27"/>
      <c r="F225" s="27"/>
      <c r="G225" s="20"/>
      <c r="H225" s="20"/>
      <c r="I225" s="20"/>
    </row>
    <row r="226" ht="13.5" customHeight="1">
      <c r="A226" s="27"/>
      <c r="B226" s="27"/>
      <c r="C226" s="27"/>
      <c r="D226" s="27"/>
      <c r="E226" s="27"/>
      <c r="F226" s="27"/>
      <c r="G226" s="20"/>
      <c r="H226" s="20"/>
      <c r="I226" s="20"/>
    </row>
    <row r="227" ht="13.5" customHeight="1">
      <c r="A227" s="50" t="s">
        <v>46</v>
      </c>
      <c r="B227" s="51" t="str">
        <f>+P.U!B2204</f>
        <v> Protecciones </v>
      </c>
      <c r="C227" s="54" t="s">
        <v>376</v>
      </c>
      <c r="D227" s="57" t="s">
        <v>49</v>
      </c>
      <c r="E227" s="58"/>
      <c r="F227" s="60" t="s">
        <v>52</v>
      </c>
      <c r="G227" s="20"/>
      <c r="H227" s="20"/>
      <c r="I227" s="20"/>
    </row>
    <row r="228" ht="13.5" customHeight="1">
      <c r="A228" s="62"/>
      <c r="B228" s="64"/>
      <c r="C228" s="67" t="str">
        <f>+P.U!A2204</f>
        <v>2.6.24</v>
      </c>
      <c r="D228" s="68" t="str">
        <f>+P.U!B2202</f>
        <v>m²</v>
      </c>
      <c r="E228" s="69"/>
      <c r="F228" s="70" t="s">
        <v>56</v>
      </c>
      <c r="G228" s="20"/>
      <c r="H228" s="20"/>
      <c r="I228" s="20"/>
    </row>
    <row r="229" ht="13.5" customHeight="1">
      <c r="A229" s="71" t="s">
        <v>58</v>
      </c>
      <c r="B229" s="73"/>
      <c r="C229" s="73"/>
      <c r="D229" s="75"/>
      <c r="E229" s="70"/>
      <c r="F229" s="76">
        <f>+P.U!F2231</f>
        <v>45950</v>
      </c>
      <c r="G229" s="20"/>
      <c r="H229" s="20"/>
      <c r="I229" s="20"/>
    </row>
    <row r="230" ht="13.5" customHeight="1">
      <c r="A230" s="78"/>
      <c r="B230" s="78"/>
      <c r="C230" s="78"/>
      <c r="D230" s="78"/>
      <c r="E230" s="27"/>
      <c r="F230" s="81"/>
      <c r="G230" s="20"/>
      <c r="H230" s="20"/>
      <c r="I230" s="20"/>
    </row>
    <row r="231" ht="13.5" customHeight="1">
      <c r="A231" s="86" t="s">
        <v>66</v>
      </c>
      <c r="B231" s="27"/>
      <c r="C231" s="27"/>
      <c r="D231" s="27"/>
      <c r="E231" s="27"/>
      <c r="F231" s="27"/>
      <c r="G231" s="20"/>
      <c r="H231" s="20"/>
      <c r="I231" s="20"/>
    </row>
    <row r="232" ht="13.5" customHeight="1">
      <c r="A232" s="88" t="s">
        <v>67</v>
      </c>
      <c r="B232" s="60" t="s">
        <v>68</v>
      </c>
      <c r="C232" s="60" t="s">
        <v>49</v>
      </c>
      <c r="D232" s="60" t="s">
        <v>70</v>
      </c>
      <c r="E232" s="60" t="s">
        <v>52</v>
      </c>
      <c r="F232" s="60" t="s">
        <v>71</v>
      </c>
      <c r="G232" s="20"/>
      <c r="H232" s="20"/>
      <c r="I232" s="20"/>
    </row>
    <row r="233" ht="13.5" customHeight="1">
      <c r="A233" s="93"/>
      <c r="B233" s="70"/>
      <c r="C233" s="70"/>
      <c r="D233" s="70"/>
      <c r="E233" s="70" t="s">
        <v>56</v>
      </c>
      <c r="F233" s="70" t="s">
        <v>37</v>
      </c>
      <c r="G233" s="20"/>
      <c r="H233" s="20"/>
      <c r="I233" s="20"/>
    </row>
    <row r="234" ht="13.5" customHeight="1">
      <c r="A234" s="183" t="str">
        <f>+P.U!A2207</f>
        <v>1</v>
      </c>
      <c r="B234" s="183" t="str">
        <f>+P.U!B2207</f>
        <v>Perfilería acero + pintura (base por m²)</v>
      </c>
      <c r="C234" s="183" t="str">
        <f>+P.U!C2207</f>
        <v>m²</v>
      </c>
      <c r="D234" s="183">
        <f>+P.U!D2207</f>
        <v>1</v>
      </c>
      <c r="E234" s="228">
        <f>+P.U!E2207</f>
        <v>22000</v>
      </c>
      <c r="F234" s="229">
        <f>+P.U!F2207</f>
        <v>22000</v>
      </c>
      <c r="G234" s="20"/>
      <c r="H234" s="20"/>
      <c r="I234" s="20"/>
    </row>
    <row r="235" ht="13.5" customHeight="1">
      <c r="A235" s="183" t="str">
        <f>+P.U!A2208</f>
        <v>2</v>
      </c>
      <c r="B235" s="183" t="str">
        <f>+P.U!B2208</f>
        <v>Accesorios/anclajes (prorr)</v>
      </c>
      <c r="C235" s="183" t="str">
        <f>+P.U!C2208</f>
        <v>gl</v>
      </c>
      <c r="D235" s="183">
        <f>+P.U!D2208</f>
        <v>1</v>
      </c>
      <c r="E235" s="228">
        <f>+P.U!E2208</f>
        <v>2500</v>
      </c>
      <c r="F235" s="229">
        <f>+P.U!F2208</f>
        <v>2500</v>
      </c>
      <c r="G235" s="20"/>
      <c r="H235" s="20"/>
      <c r="I235" s="20"/>
    </row>
    <row r="236" ht="13.5" customHeight="1">
      <c r="A236" s="183"/>
      <c r="B236" s="188"/>
      <c r="C236" s="102"/>
      <c r="D236" s="102"/>
      <c r="E236" s="238"/>
      <c r="F236" s="230"/>
      <c r="G236" s="20"/>
      <c r="H236" s="20"/>
      <c r="I236" s="20"/>
    </row>
    <row r="237" ht="13.5" customHeight="1">
      <c r="A237" s="183"/>
      <c r="B237" s="188"/>
      <c r="C237" s="102"/>
      <c r="D237" s="102"/>
      <c r="E237" s="238"/>
      <c r="F237" s="230"/>
      <c r="G237" s="20"/>
      <c r="H237" s="20"/>
      <c r="I237" s="20"/>
    </row>
    <row r="238" ht="13.5" customHeight="1">
      <c r="A238" s="183"/>
      <c r="B238" s="188"/>
      <c r="C238" s="102"/>
      <c r="D238" s="102"/>
      <c r="E238" s="238"/>
      <c r="F238" s="221"/>
      <c r="G238" s="20"/>
      <c r="H238" s="20"/>
      <c r="I238" s="20"/>
    </row>
    <row r="239" ht="13.5" customHeight="1">
      <c r="A239" s="178"/>
      <c r="B239" s="178"/>
      <c r="C239" s="121"/>
      <c r="D239" s="178"/>
      <c r="E239" s="210" t="s">
        <v>37</v>
      </c>
      <c r="F239" s="211">
        <f>+P.U!F2213</f>
        <v>24500</v>
      </c>
      <c r="G239" s="20"/>
      <c r="H239" s="20"/>
      <c r="I239" s="20"/>
    </row>
    <row r="240" ht="13.5" customHeight="1">
      <c r="A240" s="27"/>
      <c r="B240" s="27"/>
      <c r="C240" s="27"/>
      <c r="D240" s="27"/>
      <c r="E240" s="27"/>
      <c r="F240" s="233"/>
      <c r="G240" s="20"/>
      <c r="H240" s="20"/>
      <c r="I240" s="20"/>
    </row>
    <row r="241" ht="13.5" customHeight="1">
      <c r="A241" s="86"/>
      <c r="C241" s="27"/>
      <c r="D241" s="27"/>
      <c r="E241" s="27"/>
      <c r="F241" s="233"/>
      <c r="G241" s="20"/>
      <c r="H241" s="20"/>
      <c r="I241" s="20"/>
    </row>
    <row r="242" ht="13.5" customHeight="1">
      <c r="A242" s="173" t="s">
        <v>106</v>
      </c>
      <c r="B242" s="129"/>
      <c r="C242" s="129"/>
      <c r="D242" s="129"/>
      <c r="E242" s="129"/>
      <c r="F242" s="129"/>
      <c r="G242" s="20"/>
      <c r="H242" s="20"/>
      <c r="I242" s="20"/>
    </row>
    <row r="243" ht="13.5" customHeight="1">
      <c r="A243" s="88" t="s">
        <v>67</v>
      </c>
      <c r="B243" s="60" t="s">
        <v>68</v>
      </c>
      <c r="C243" s="60" t="s">
        <v>49</v>
      </c>
      <c r="D243" s="60" t="s">
        <v>70</v>
      </c>
      <c r="E243" s="60" t="s">
        <v>52</v>
      </c>
      <c r="F243" s="234" t="s">
        <v>71</v>
      </c>
      <c r="G243" s="20"/>
      <c r="H243" s="20"/>
      <c r="I243" s="20"/>
    </row>
    <row r="244" ht="13.5" customHeight="1">
      <c r="A244" s="93"/>
      <c r="B244" s="70"/>
      <c r="C244" s="70"/>
      <c r="D244" s="70"/>
      <c r="E244" s="70" t="s">
        <v>56</v>
      </c>
      <c r="F244" s="235" t="s">
        <v>37</v>
      </c>
      <c r="G244" s="20"/>
      <c r="H244" s="20"/>
      <c r="I244" s="20"/>
    </row>
    <row r="245" ht="13.5" customHeight="1">
      <c r="A245" s="176" t="str">
        <f>+P.U!A2217</f>
        <v>1</v>
      </c>
      <c r="B245" s="176" t="str">
        <f>+P.U!B2217</f>
        <v>Maestro</v>
      </c>
      <c r="C245" s="176" t="str">
        <f>+P.U!C2217</f>
        <v>día</v>
      </c>
      <c r="D245" s="217">
        <f>+P.U!D2217</f>
        <v>0.08</v>
      </c>
      <c r="E245" s="206">
        <f>+P.U!E2217</f>
        <v>65000</v>
      </c>
      <c r="F245" s="207">
        <f>+P.U!F2217</f>
        <v>5200</v>
      </c>
      <c r="G245" s="20"/>
      <c r="H245" s="20"/>
      <c r="I245" s="20"/>
    </row>
    <row r="246" ht="13.5" customHeight="1">
      <c r="A246" s="176" t="str">
        <f>+P.U!A2218</f>
        <v>2</v>
      </c>
      <c r="B246" s="176" t="str">
        <f>+P.U!B2218</f>
        <v>Ayudante</v>
      </c>
      <c r="C246" s="176" t="str">
        <f>+P.U!C2218</f>
        <v>día</v>
      </c>
      <c r="D246" s="217">
        <f>+P.U!D2218</f>
        <v>0.08</v>
      </c>
      <c r="E246" s="206">
        <f>+P.U!E2218</f>
        <v>50000</v>
      </c>
      <c r="F246" s="207">
        <f>+P.U!F2218</f>
        <v>4000</v>
      </c>
      <c r="G246" s="20"/>
      <c r="H246" s="20"/>
      <c r="I246" s="20"/>
    </row>
    <row r="247" ht="13.5" customHeight="1">
      <c r="A247" s="176"/>
      <c r="B247" s="177"/>
      <c r="C247" s="159"/>
      <c r="D247" s="177"/>
      <c r="E247" s="208"/>
      <c r="F247" s="209"/>
      <c r="G247" s="20"/>
      <c r="H247" s="20"/>
      <c r="I247" s="20"/>
    </row>
    <row r="248" ht="13.5" customHeight="1">
      <c r="A248" s="176"/>
      <c r="B248" s="200"/>
      <c r="C248" s="70"/>
      <c r="D248" s="200"/>
      <c r="E248" s="208"/>
      <c r="F248" s="209"/>
      <c r="G248" s="20"/>
      <c r="H248" s="20"/>
      <c r="I248" s="20"/>
    </row>
    <row r="249" ht="13.5" customHeight="1">
      <c r="A249" s="178"/>
      <c r="B249" s="86"/>
      <c r="C249" s="81"/>
      <c r="D249" s="86"/>
      <c r="E249" s="237" t="s">
        <v>121</v>
      </c>
      <c r="F249" s="209">
        <f>+P.U!F2219</f>
        <v>9200</v>
      </c>
      <c r="G249" s="20"/>
      <c r="H249" s="20"/>
      <c r="I249" s="20"/>
    </row>
    <row r="250" ht="13.5" customHeight="1">
      <c r="A250" s="219"/>
      <c r="B250" s="202" t="s">
        <v>123</v>
      </c>
      <c r="C250" s="169" t="s">
        <v>124</v>
      </c>
      <c r="D250" s="220"/>
      <c r="E250" s="238"/>
      <c r="F250" s="221">
        <f>+P.U!F2220</f>
        <v>4600</v>
      </c>
      <c r="G250" s="20"/>
      <c r="H250" s="20"/>
      <c r="I250" s="20"/>
    </row>
    <row r="251" ht="13.5" customHeight="1">
      <c r="A251" s="27"/>
      <c r="B251" s="27"/>
      <c r="C251" s="27"/>
      <c r="D251" s="27"/>
      <c r="E251" s="250"/>
      <c r="F251" s="222">
        <f>+P.U!F2221</f>
        <v>13800</v>
      </c>
      <c r="G251" s="20"/>
      <c r="H251" s="20"/>
      <c r="I251" s="20"/>
    </row>
    <row r="252" ht="13.5" customHeight="1">
      <c r="A252" s="27"/>
      <c r="B252" s="27"/>
      <c r="C252" s="27"/>
      <c r="D252" s="27"/>
      <c r="E252" s="27"/>
      <c r="F252" s="27"/>
      <c r="G252" s="20"/>
      <c r="H252" s="20"/>
      <c r="I252" s="20"/>
    </row>
    <row r="253" ht="13.5" customHeight="1">
      <c r="A253" s="27"/>
      <c r="B253" s="27"/>
      <c r="C253" s="27"/>
      <c r="D253" s="27"/>
      <c r="E253" s="27"/>
      <c r="F253" s="27"/>
      <c r="G253" s="20"/>
      <c r="H253" s="20"/>
      <c r="I253" s="20"/>
    </row>
    <row r="254" ht="13.5" customHeight="1">
      <c r="A254" s="86"/>
      <c r="C254" s="27"/>
      <c r="D254" s="27"/>
      <c r="E254" s="27"/>
      <c r="F254" s="27"/>
      <c r="G254" s="20"/>
      <c r="H254" s="20"/>
      <c r="I254" s="20"/>
    </row>
    <row r="255" ht="13.5" customHeight="1">
      <c r="A255" s="173" t="s">
        <v>128</v>
      </c>
      <c r="B255" s="129"/>
      <c r="C255" s="129"/>
      <c r="D255" s="129"/>
      <c r="E255" s="129"/>
      <c r="F255" s="129"/>
      <c r="G255" s="20"/>
      <c r="H255" s="20"/>
      <c r="I255" s="20"/>
    </row>
    <row r="256" ht="13.5" customHeight="1">
      <c r="A256" s="88" t="s">
        <v>67</v>
      </c>
      <c r="B256" s="60" t="s">
        <v>68</v>
      </c>
      <c r="C256" s="60" t="s">
        <v>49</v>
      </c>
      <c r="D256" s="60" t="s">
        <v>70</v>
      </c>
      <c r="E256" s="60" t="s">
        <v>52</v>
      </c>
      <c r="F256" s="60" t="s">
        <v>71</v>
      </c>
      <c r="G256" s="20"/>
      <c r="H256" s="20"/>
      <c r="I256" s="20"/>
    </row>
    <row r="257" ht="13.5" customHeight="1">
      <c r="A257" s="93"/>
      <c r="B257" s="70"/>
      <c r="C257" s="70"/>
      <c r="D257" s="70"/>
      <c r="E257" s="70" t="s">
        <v>56</v>
      </c>
      <c r="F257" s="70" t="s">
        <v>37</v>
      </c>
      <c r="G257" s="20"/>
      <c r="H257" s="20"/>
      <c r="I257" s="20"/>
    </row>
    <row r="258" ht="13.5" customHeight="1">
      <c r="A258" s="176" t="str">
        <f>+P.U!A2225</f>
        <v>1</v>
      </c>
      <c r="B258" s="176" t="str">
        <f>+P.U!B2225</f>
        <v>Desagaste herramientas</v>
      </c>
      <c r="C258" s="176" t="str">
        <f>+P.U!C2225</f>
        <v>día</v>
      </c>
      <c r="D258" s="223">
        <f>+P.U!D2225</f>
        <v>0.17</v>
      </c>
      <c r="E258" s="206">
        <f>+P.U!E2225</f>
        <v>45000</v>
      </c>
      <c r="F258" s="207">
        <f>+P.U!F2225</f>
        <v>7650</v>
      </c>
      <c r="G258" s="20"/>
      <c r="H258" s="20"/>
      <c r="I258" s="20"/>
    </row>
    <row r="259" ht="13.5" customHeight="1">
      <c r="A259" s="176"/>
      <c r="B259" s="176"/>
      <c r="C259" s="176"/>
      <c r="D259" s="176"/>
      <c r="E259" s="176"/>
      <c r="F259" s="207"/>
      <c r="G259" s="20"/>
      <c r="H259" s="20"/>
      <c r="I259" s="20"/>
    </row>
    <row r="260" ht="13.5" customHeight="1">
      <c r="A260" s="176"/>
      <c r="B260" s="177"/>
      <c r="C260" s="159"/>
      <c r="D260" s="177"/>
      <c r="E260" s="177"/>
      <c r="F260" s="209"/>
      <c r="G260" s="20"/>
      <c r="H260" s="20"/>
      <c r="I260" s="20"/>
    </row>
    <row r="261" ht="13.5" customHeight="1">
      <c r="A261" s="176"/>
      <c r="B261" s="177"/>
      <c r="C261" s="159"/>
      <c r="D261" s="177"/>
      <c r="E261" s="177"/>
      <c r="F261" s="209"/>
      <c r="G261" s="20"/>
      <c r="H261" s="20"/>
      <c r="I261" s="20"/>
    </row>
    <row r="262" ht="13.5" customHeight="1">
      <c r="A262" s="178"/>
      <c r="B262" s="178"/>
      <c r="C262" s="121"/>
      <c r="D262" s="178"/>
      <c r="E262" s="216" t="s">
        <v>37</v>
      </c>
      <c r="F262" s="211">
        <f>+P.U!F2227</f>
        <v>7650</v>
      </c>
      <c r="G262" s="20"/>
      <c r="H262" s="20"/>
      <c r="I262" s="20"/>
    </row>
    <row r="263" ht="13.5" customHeight="1">
      <c r="A263" s="27"/>
      <c r="B263" s="27"/>
      <c r="C263" s="27"/>
      <c r="D263" s="27"/>
      <c r="E263" s="27"/>
      <c r="F263" s="27"/>
      <c r="G263" s="20"/>
      <c r="H263" s="20"/>
      <c r="I263" s="20"/>
    </row>
    <row r="264" ht="13.5" customHeight="1">
      <c r="A264" s="27"/>
      <c r="B264" s="27"/>
      <c r="C264" s="27"/>
      <c r="D264" s="27"/>
      <c r="E264" s="27"/>
      <c r="F264" s="27"/>
      <c r="G264" s="20"/>
      <c r="H264" s="20"/>
      <c r="I264" s="20"/>
    </row>
    <row r="265" ht="13.5" customHeight="1">
      <c r="A265" s="27"/>
      <c r="B265" s="27"/>
      <c r="C265" s="27"/>
      <c r="D265" s="27"/>
      <c r="E265" s="27"/>
      <c r="F265" s="27"/>
      <c r="G265" s="20"/>
      <c r="H265" s="20"/>
      <c r="I265" s="20"/>
    </row>
    <row r="266" ht="13.5" customHeight="1">
      <c r="A266" s="27"/>
      <c r="B266" s="27"/>
      <c r="C266" s="27"/>
      <c r="D266" s="27"/>
      <c r="E266" s="27"/>
      <c r="F266" s="27"/>
      <c r="G266" s="20"/>
      <c r="H266" s="20"/>
      <c r="I266" s="20"/>
    </row>
    <row r="267" ht="13.5" customHeight="1">
      <c r="A267" s="27"/>
      <c r="B267" s="179" t="s">
        <v>143</v>
      </c>
      <c r="C267" s="180"/>
      <c r="D267" s="27"/>
      <c r="E267" s="27"/>
      <c r="F267" s="27"/>
      <c r="G267" s="20"/>
      <c r="H267" s="20"/>
      <c r="I267" s="20"/>
    </row>
    <row r="268" ht="13.5" customHeight="1">
      <c r="A268" s="27"/>
      <c r="B268" s="179" t="s">
        <v>145</v>
      </c>
      <c r="C268" s="180"/>
      <c r="D268" s="27"/>
      <c r="E268" s="27"/>
      <c r="F268" s="27"/>
      <c r="G268" s="20"/>
      <c r="H268" s="20"/>
      <c r="I268" s="20"/>
    </row>
    <row r="269" ht="13.5" customHeight="1">
      <c r="A269" s="20"/>
      <c r="B269" s="179" t="s">
        <v>146</v>
      </c>
      <c r="C269" s="20"/>
      <c r="D269" s="20"/>
      <c r="E269" s="20"/>
      <c r="F269" s="20"/>
      <c r="G269" s="20"/>
      <c r="H269" s="20"/>
      <c r="I269" s="20"/>
    </row>
    <row r="270" ht="13.5" customHeight="1">
      <c r="A270" s="20"/>
      <c r="B270" s="179" t="s">
        <v>147</v>
      </c>
      <c r="C270" s="20"/>
      <c r="D270" s="20"/>
      <c r="E270" s="20"/>
      <c r="F270" s="20"/>
      <c r="G270" s="20"/>
      <c r="H270" s="20"/>
      <c r="I270" s="20"/>
    </row>
    <row r="271" ht="13.5" customHeight="1">
      <c r="A271" s="20"/>
      <c r="B271" s="20"/>
      <c r="C271" s="20"/>
      <c r="D271" s="20"/>
      <c r="E271" s="20"/>
      <c r="F271" s="20"/>
      <c r="G271" s="20"/>
      <c r="H271" s="20"/>
      <c r="I271" s="20"/>
    </row>
    <row r="272" ht="13.5" customHeight="1">
      <c r="A272" s="20"/>
      <c r="B272" s="20"/>
      <c r="C272" s="20"/>
      <c r="D272" s="20"/>
      <c r="E272" s="20"/>
      <c r="F272" s="20"/>
      <c r="G272" s="20"/>
      <c r="H272" s="20"/>
      <c r="I272" s="20"/>
    </row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84">
    <mergeCell ref="A109:F109"/>
    <mergeCell ref="A110:F110"/>
    <mergeCell ref="A111:F111"/>
    <mergeCell ref="D114:E114"/>
    <mergeCell ref="D115:E115"/>
    <mergeCell ref="C132:C133"/>
    <mergeCell ref="F132:F133"/>
    <mergeCell ref="A132:B132"/>
    <mergeCell ref="A133:B133"/>
    <mergeCell ref="A145:B145"/>
    <mergeCell ref="A161:F161"/>
    <mergeCell ref="A163:F163"/>
    <mergeCell ref="A165:F165"/>
    <mergeCell ref="A166:F166"/>
    <mergeCell ref="D170:E170"/>
    <mergeCell ref="D171:E171"/>
    <mergeCell ref="A187:B187"/>
    <mergeCell ref="C187:C188"/>
    <mergeCell ref="D187:D188"/>
    <mergeCell ref="E187:E188"/>
    <mergeCell ref="F187:F188"/>
    <mergeCell ref="A188:B188"/>
    <mergeCell ref="A200:B200"/>
    <mergeCell ref="C200:C201"/>
    <mergeCell ref="D200:D201"/>
    <mergeCell ref="E200:E201"/>
    <mergeCell ref="F200:F201"/>
    <mergeCell ref="A201:B201"/>
    <mergeCell ref="C254:C255"/>
    <mergeCell ref="D254:D255"/>
    <mergeCell ref="E254:E255"/>
    <mergeCell ref="F254:F255"/>
    <mergeCell ref="A255:B255"/>
    <mergeCell ref="A241:B241"/>
    <mergeCell ref="C241:C242"/>
    <mergeCell ref="D241:D242"/>
    <mergeCell ref="E241:E242"/>
    <mergeCell ref="F241:F242"/>
    <mergeCell ref="A242:B242"/>
    <mergeCell ref="A254:B254"/>
    <mergeCell ref="A1:F1"/>
    <mergeCell ref="A3:F3"/>
    <mergeCell ref="A5:F5"/>
    <mergeCell ref="A6:F6"/>
    <mergeCell ref="A7:F7"/>
    <mergeCell ref="D9:E9"/>
    <mergeCell ref="D10:E10"/>
    <mergeCell ref="A23:B23"/>
    <mergeCell ref="C23:C24"/>
    <mergeCell ref="D23:D24"/>
    <mergeCell ref="E23:E24"/>
    <mergeCell ref="F23:F24"/>
    <mergeCell ref="A24:B24"/>
    <mergeCell ref="A35:B35"/>
    <mergeCell ref="C35:C36"/>
    <mergeCell ref="D35:D36"/>
    <mergeCell ref="E35:E36"/>
    <mergeCell ref="F35:F36"/>
    <mergeCell ref="A36:B36"/>
    <mergeCell ref="A53:F53"/>
    <mergeCell ref="A55:F55"/>
    <mergeCell ref="A57:F57"/>
    <mergeCell ref="A58:F58"/>
    <mergeCell ref="A59:F59"/>
    <mergeCell ref="D61:E61"/>
    <mergeCell ref="D62:E62"/>
    <mergeCell ref="A76:B76"/>
    <mergeCell ref="A87:B87"/>
    <mergeCell ref="C87:C88"/>
    <mergeCell ref="D87:D88"/>
    <mergeCell ref="E87:E88"/>
    <mergeCell ref="F87:F88"/>
    <mergeCell ref="A88:B88"/>
    <mergeCell ref="A105:F105"/>
    <mergeCell ref="A107:F107"/>
    <mergeCell ref="D132:D133"/>
    <mergeCell ref="E132:E133"/>
    <mergeCell ref="A218:F218"/>
    <mergeCell ref="A220:F220"/>
    <mergeCell ref="A222:F222"/>
    <mergeCell ref="A223:F223"/>
    <mergeCell ref="A224:F224"/>
    <mergeCell ref="D227:E227"/>
    <mergeCell ref="D228:E228"/>
  </mergeCells>
  <printOptions/>
  <pageMargins bottom="0.75" footer="0.0" header="0.0" left="0.7" right="0.7" top="0.75"/>
  <pageSetup orientation="portrait"/>
  <rowBreaks count="4" manualBreakCount="4">
    <brk id="160" man="1"/>
    <brk id="51" man="1"/>
    <brk id="103" man="1"/>
    <brk id="216" man="1"/>
  </rowBreaks>
  <colBreaks count="1" manualBreakCount="1">
    <brk id="7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2025-07-01T11:38:57Z</dcterms:created>
  <dc:creator>EDUARDO  GUERRA ALVARADO</dc:creator>
</cp:coreProperties>
</file>